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Dev\Code\05_Apps_Tools\MarvelTimeline\"/>
    </mc:Choice>
  </mc:AlternateContent>
  <xr:revisionPtr revIDLastSave="0" documentId="13_ncr:1_{B5CA7BFD-1F84-424E-923A-6A0ADE577B9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主宇宙片单" sheetId="1" r:id="rId1"/>
    <sheet name="跨宇宙支线" sheetId="2" r:id="rId2"/>
    <sheet name="年底冲刺版" sheetId="3" r:id="rId3"/>
    <sheet name="已确认阵营索引" sheetId="4" r:id="rId4"/>
    <sheet name="说明与来源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E5" i="1"/>
  <c r="C5" i="1"/>
  <c r="A5" i="1"/>
</calcChain>
</file>

<file path=xl/sharedStrings.xml><?xml version="1.0" encoding="utf-8"?>
<sst xmlns="http://schemas.openxmlformats.org/spreadsheetml/2006/main" count="556" uniqueCount="310">
  <si>
    <t>《复仇者联盟5：毁灭日》前置观影片单</t>
  </si>
  <si>
    <t>主宇宙按主要剧情时间从远到近排序｜跨宇宙内容另表｜评分：夯 ＞ 顶级 ＞ 人上人 ＞ NPC ＞ 拉完了｜资料截至 2026-07-27</t>
  </si>
  <si>
    <t>主表条目</t>
  </si>
  <si>
    <t>必看条目</t>
  </si>
  <si>
    <t>已看进度</t>
  </si>
  <si>
    <t>跨宇宙支线</t>
  </si>
  <si>
    <t>顺序</t>
  </si>
  <si>
    <t>故事时间／观看位置</t>
  </si>
  <si>
    <t>类型</t>
  </si>
  <si>
    <t>片名</t>
  </si>
  <si>
    <t>优先级</t>
  </si>
  <si>
    <t>无剧透情节概括</t>
  </si>
  <si>
    <t>评分</t>
  </si>
  <si>
    <t>与《毁灭日》的关联</t>
  </si>
  <si>
    <t>观看状态</t>
  </si>
  <si>
    <t>1943—1945</t>
  </si>
  <si>
    <t>电影</t>
  </si>
  <si>
    <t>美国队长：复仇者先锋</t>
  </si>
  <si>
    <t>建议</t>
  </si>
  <si>
    <t>身体羸弱但意志坚定的史蒂夫接受超级士兵实验，在二战中成为美国队长。</t>
  </si>
  <si>
    <t>人上人</t>
  </si>
  <si>
    <t>未看</t>
  </si>
  <si>
    <t>补史蒂夫与巴基的起点；两人均与《毁灭日》阵容有关。</t>
  </si>
  <si>
    <t>2008前后</t>
  </si>
  <si>
    <t>钢铁侠</t>
  </si>
  <si>
    <t>托尼·斯塔克被俘后制造战甲逃生，并开始从军火商转向英雄。</t>
  </si>
  <si>
    <t>顶级</t>
  </si>
  <si>
    <t>理解小罗伯特·唐尼在 MCU 的历史重量；毁灭博士是不同角色。</t>
  </si>
  <si>
    <t>2010前后</t>
  </si>
  <si>
    <t>雷神</t>
  </si>
  <si>
    <t>傲慢的阿斯加德王子被放逐到地球，在失去力量后学习何为真正的英雄。</t>
  </si>
  <si>
    <t>建立雷神与洛基的兄弟关系。</t>
  </si>
  <si>
    <t>2012</t>
  </si>
  <si>
    <t>复仇者联盟</t>
  </si>
  <si>
    <t>必看</t>
  </si>
  <si>
    <t>洛基率军入侵纽约，数位原本互不相让的英雄首次真正集结。</t>
  </si>
  <si>
    <t>复仇者概念、雷神、洛基和蚁人时代之前的团队原点。</t>
  </si>
  <si>
    <t>2014</t>
  </si>
  <si>
    <t>美国队长2：冬日战士</t>
  </si>
  <si>
    <t>史蒂夫发现神盾局内部遭到渗透，并与猎鹰追查神秘的冬日战士。</t>
  </si>
  <si>
    <t>夯</t>
  </si>
  <si>
    <t>建立史蒂夫、山姆和巴基三人的核心关系。</t>
  </si>
  <si>
    <t>2015</t>
  </si>
  <si>
    <t>复仇者联盟2：奥创纪元</t>
  </si>
  <si>
    <t>托尼创造的防卫人工智能失控，复仇者开始面对团队内部裂痕。</t>
  </si>
  <si>
    <t>补复仇者旧体系、索科维亚后果与团队分裂前因。</t>
  </si>
  <si>
    <t>蚁人</t>
  </si>
  <si>
    <t>前科犯斯科特·朗获得能够缩放身体的战衣，并被迫完成一次高风险盗窃。</t>
  </si>
  <si>
    <t>斯科特是已确认回归成员。</t>
  </si>
  <si>
    <t>2016</t>
  </si>
  <si>
    <t>美国队长3：内战</t>
  </si>
  <si>
    <t>超级英雄监管问题令复仇者分裂，山姆、巴基、蚁人与瓦坎达被卷入冲突。</t>
  </si>
  <si>
    <t>解释旧复仇者为何瓦解，以及多名《毁灭日》角色的关系。</t>
  </si>
  <si>
    <t>2016／内战后</t>
  </si>
  <si>
    <t>黑寡妇</t>
  </si>
  <si>
    <t>娜塔莎在逃亡期间重新面对红房子，以及早已分离的临时家庭。</t>
  </si>
  <si>
    <t>NPC</t>
  </si>
  <si>
    <t>引出叶莲娜与红色守卫；二人均进入《毁灭日》阵容。</t>
  </si>
  <si>
    <t>黑豹</t>
  </si>
  <si>
    <t>特查拉继承瓦坎达王位，却必须面对来自家族历史与外部世界的挑战。</t>
  </si>
  <si>
    <t>认识瓦坎达、舒莉与姆巴库。</t>
  </si>
  <si>
    <t>2016—2017</t>
  </si>
  <si>
    <t>奇异博士</t>
  </si>
  <si>
    <t>一名自负的外科医生因事故接触魔法世界，并学习保护现实。</t>
  </si>
  <si>
    <t>建立魔法、多维现实与时间操控的基础规则。</t>
  </si>
  <si>
    <t>2017</t>
  </si>
  <si>
    <t>雷神3：诸神黄昏</t>
  </si>
  <si>
    <t>雷神流落外星角斗场，必须阻止阿斯加德末日，同时重新处理与洛基的关系。</t>
  </si>
  <si>
    <t>雷神与洛基在无限战争前最重要的一次关系推进。</t>
  </si>
  <si>
    <t>2018</t>
  </si>
  <si>
    <t>蚁人2：黄蜂女现身</t>
  </si>
  <si>
    <t>斯科特在居家监禁期间协助皮姆一家进入量子领域，并遭遇幽灵。</t>
  </si>
  <si>
    <t>补幽灵、斯科特／凯茜家庭与量子领域。</t>
  </si>
  <si>
    <t>复仇者联盟3：无限战争</t>
  </si>
  <si>
    <t>灭霸开始搜集无限宝石，分散各地的英雄被迫同时迎战宇宙级威胁。</t>
  </si>
  <si>
    <t>《毁灭日》体量与多阵营会师的直接范本。</t>
  </si>
  <si>
    <t>2018→2023</t>
  </si>
  <si>
    <t>复仇者联盟4：终局之战</t>
  </si>
  <si>
    <t>幸存英雄尝试逆转灭霸造成的灾难，并为初代复仇者时代画下句点。</t>
  </si>
  <si>
    <t>解释史蒂夫去向、洛基时间分支以及后终局时代的权力真空。</t>
  </si>
  <si>
    <t>2023</t>
  </si>
  <si>
    <t>剧集S1</t>
  </si>
  <si>
    <t>旺达幻视</t>
  </si>
  <si>
    <t>可选</t>
  </si>
  <si>
    <t>旺达与幻视生活在不断变化的电视情景喜剧世界中，现实却逐渐露出裂缝。</t>
  </si>
  <si>
    <t>辅助理解多元宇宙失控与《奇异博士2》；旺达尚未列入官方阵容。</t>
  </si>
  <si>
    <t>时间线外／接终局之战</t>
  </si>
  <si>
    <t>洛基 第一季</t>
  </si>
  <si>
    <t>来自 2012 年的洛基分支被时间变异管理局拘捕，并发现所谓神圣时间线。</t>
  </si>
  <si>
    <t>TVA、时间分支和多元宇宙正式建立。</t>
  </si>
  <si>
    <t>2024</t>
  </si>
  <si>
    <t>尚气与十环传奇</t>
  </si>
  <si>
    <t>在美国生活的尚气被迫面对自己的家族、过去与神秘十环。</t>
  </si>
  <si>
    <t>尚气已确认加入《毁灭日》。</t>
  </si>
  <si>
    <t>猎鹰与冬兵</t>
  </si>
  <si>
    <t>山姆犹豫是否继承美国队长盾牌，巴基则尝试摆脱冬日战士留下的创伤。</t>
  </si>
  <si>
    <t>山姆、巴基与约翰·沃克进入当前状态的必修课。</t>
  </si>
  <si>
    <t>蜘蛛侠：英雄无归</t>
  </si>
  <si>
    <t>彼得身份曝光后请求奇异博士改变现实，却意外招来其他宇宙的访客。</t>
  </si>
  <si>
    <t>补充跨宇宙人物进入主宇宙的直观规则。</t>
  </si>
  <si>
    <t>2024—2025</t>
  </si>
  <si>
    <t>奇异博士2：疯狂多元宇宙</t>
  </si>
  <si>
    <t>奇异博士穿梭多个现实，并首次正面接触宇宙碰撞与入侵现象。</t>
  </si>
  <si>
    <t>“宇宙入侵／相撞”是《毁灭日》官方梗概的核心概念。</t>
  </si>
  <si>
    <t>2025</t>
  </si>
  <si>
    <t>黑豹2：瓦坎达万岁</t>
  </si>
  <si>
    <t>瓦坎达在失去国王后面对新的国际压力，并与海底王国塔洛坎发生冲突。</t>
  </si>
  <si>
    <t>舒莉、姆巴库、纳摩及两国关系的直接前置。</t>
  </si>
  <si>
    <t>雷神4：爱与雷霆</t>
  </si>
  <si>
    <t>雷神在寻找人生方向时遭遇屠神者，并重新面对过去的感情。</t>
  </si>
  <si>
    <t>补雷神进入《毁灭日》前最近的个人状态。</t>
  </si>
  <si>
    <t>2026</t>
  </si>
  <si>
    <t>蚁人与黄蜂女：量子狂潮</t>
  </si>
  <si>
    <t>斯科特与已经长大的凯茜被卷入量子领域，并面对操纵时间的强敌。</t>
  </si>
  <si>
    <t>拉完了</t>
  </si>
  <si>
    <t>主要补斯科特与凯茜；按现有官方阵容，其必要性低于最初预期。</t>
  </si>
  <si>
    <t>时间线外／接洛基S1</t>
  </si>
  <si>
    <t>剧集S2</t>
  </si>
  <si>
    <t>洛基 第二季</t>
  </si>
  <si>
    <t>洛基与 TVA 同伴试图阻止不断扩张的时间分支摧毁整个多元宇宙。</t>
  </si>
  <si>
    <t>目前最重要的时间树、TVA 与洛基状态说明。</t>
  </si>
  <si>
    <t>惊奇队长2</t>
  </si>
  <si>
    <t>三位光能英雄因异常虫洞而能力纠缠，必须处理正在失稳的宇宙。</t>
  </si>
  <si>
    <t>结尾建立 MCU 与 X 战警宇宙的明确连接。</t>
  </si>
  <si>
    <t>TVA外侧／多宇宙</t>
  </si>
  <si>
    <t>死侍与金刚狼</t>
  </si>
  <si>
    <t>死侍被 TVA 卷入拯救自己世界的任务，并召集一名不情愿的金刚狼。</t>
  </si>
  <si>
    <t>连接 TVA、福克斯旧宇宙与已确认登场的牌皇。</t>
  </si>
  <si>
    <t>2027</t>
  </si>
  <si>
    <t>美国队长4：勇敢新世界</t>
  </si>
  <si>
    <t>正式继承盾牌的山姆被卷入国际阴谋，并面对新任美国总统带来的危机。</t>
  </si>
  <si>
    <t>山姆与新猎鹰参加《毁灭日》前的最新状态。</t>
  </si>
  <si>
    <t>雷霆特攻队*</t>
  </si>
  <si>
    <t>叶莲娜、巴基、红色守卫、幽灵与约翰·沃克等边缘人物被迫组成团队。</t>
  </si>
  <si>
    <t>官方已说明该团队在《毁灭日》中扮演关键角色。</t>
  </si>
  <si>
    <t>约2028／英雄无归四年后</t>
  </si>
  <si>
    <t>蜘蛛侠：崭新之日</t>
  </si>
  <si>
    <t>待确认</t>
  </si>
  <si>
    <t>全世界不再记得彼得，他独自全职打击犯罪，并面对新的城市威胁。</t>
  </si>
  <si>
    <t>待上映</t>
  </si>
  <si>
    <t>未上映</t>
  </si>
  <si>
    <t>早于《毁灭日》上映；直接关联需待影片公映后确认。</t>
  </si>
  <si>
    <t>具体年份待片内确认</t>
  </si>
  <si>
    <t>目的地</t>
  </si>
  <si>
    <t>复仇者联盟5：毁灭日</t>
  </si>
  <si>
    <t>来自三个不同宇宙的英雄走上致命碰撞路线，并面对前所未有的生存威胁。</t>
  </si>
  <si>
    <t>2026-12-18 北美上映；中国内地档期待官方确认。</t>
  </si>
  <si>
    <t>跨宇宙支线｜X战警、死侍与神奇四侠</t>
  </si>
  <si>
    <t>X战警电影时间线存在自相矛盾与重置，新手按下方叙事顺序观看，比硬按年份更容易理解。</t>
  </si>
  <si>
    <t>核心原则：老版 X 战警先看《X战警》→《X战警2》→《背水一战》，再看《第一战》→《逆转未来》；神奇四侠只需看 2025 新版。</t>
  </si>
  <si>
    <t>故事位置／排序口径</t>
  </si>
  <si>
    <t>按叙事顺序</t>
  </si>
  <si>
    <t>X战警（2000）</t>
  </si>
  <si>
    <t>X 教授带领变种人英雄保护人类，而万磁王认为冲突无法避免。</t>
  </si>
  <si>
    <t>认识老版 X 教授、万磁王、独眼龙与魔形女。</t>
  </si>
  <si>
    <t>接《X战警》</t>
  </si>
  <si>
    <t>X战警2（2003）</t>
  </si>
  <si>
    <t>人类军方袭击变种人学校，宿敌双方被迫短暂合作。</t>
  </si>
  <si>
    <t>夜行者首次登场，老版 X 战警群像最完整。</t>
  </si>
  <si>
    <t>接《X战警2》</t>
  </si>
  <si>
    <t>X战警3：背水一战（2006）</t>
  </si>
  <si>
    <t>所谓变种人“解药”引发阵营决裂，凤凰力量同时失控。</t>
  </si>
  <si>
    <t>补老版野兽与主要角色关系。</t>
  </si>
  <si>
    <t>故事主段为1962</t>
  </si>
  <si>
    <t>X战警：第一战（2011）</t>
  </si>
  <si>
    <t>年轻的查尔斯与埃里克在古巴导弹危机前合作组建第一代 X 战警。</t>
  </si>
  <si>
    <t>理解 X 教授与万磁王理念分裂的根源。</t>
  </si>
  <si>
    <t>1973／2023双线</t>
  </si>
  <si>
    <t>X战警：逆转未来（2014）</t>
  </si>
  <si>
    <t>未来濒临毁灭，金刚狼返回过去尝试阻止变种人历史走向灾难。</t>
  </si>
  <si>
    <t>连接新旧两代演员并重置 X 战警电影时间线。</t>
  </si>
  <si>
    <t>2029／可能为独立分支</t>
  </si>
  <si>
    <t>金刚狼3：殊死一战（2017）</t>
  </si>
  <si>
    <t>年迈的金刚狼护送一名年轻变种人，面对英雄时代衰亡后的世界。</t>
  </si>
  <si>
    <t>强化老版 X 教授与福克斯宇宙的情感重量。</t>
  </si>
  <si>
    <t>2016／死侍世界</t>
  </si>
  <si>
    <t>死侍（2016）</t>
  </si>
  <si>
    <t>韦德在实验中获得再生能力，化身话痨雇佣兵追查仇人。</t>
  </si>
  <si>
    <t>建立死侍的语气、世界与配角。</t>
  </si>
  <si>
    <t>2018／死侍世界</t>
  </si>
  <si>
    <t>死侍2（2018）</t>
  </si>
  <si>
    <t>死侍组建临时队伍，试图保护一名被未来战士追杀的少年。</t>
  </si>
  <si>
    <t>补时间旅行与死侍进入 TVA 前的人际关系。</t>
  </si>
  <si>
    <t>死侍与金刚狼（2024）</t>
  </si>
  <si>
    <t>死侍被 TVA 卷入跨宇宙任务，并遇见来自不同世界的旧英雄。</t>
  </si>
  <si>
    <t>已在主表列出；牌皇及福克斯旧宇宙回归的直接前置。</t>
  </si>
  <si>
    <t>平行宇宙／复古未来1960年代</t>
  </si>
  <si>
    <t>神奇四侠：初露锋芒（2025）</t>
  </si>
  <si>
    <t>神奇四侠在复古未来世界中保护家园，面对吞噬星球的宇宙级威胁。</t>
  </si>
  <si>
    <t>官方明确其直接通向《毁灭日》，四位成员全部回归。</t>
  </si>
  <si>
    <t>可以直接跳过：2005／2007／2015 三部旧版《神奇四侠》——《毁灭日》采用 2025 新版演员与独立宇宙设定。</t>
  </si>
  <si>
    <t>年底冲刺版｜13 部电影 + 3 季剧集</t>
  </si>
  <si>
    <t>为纯新手压缩到能覆盖全部主要已确认阵营的版本；仍按叙事理解优先，不机械追求全量。</t>
  </si>
  <si>
    <t>若仍嫌多，最不能删的 8 项：终局之战、洛基 S1/S2、黑豹2、惊奇队长2、死侍与金刚狼、雷霆特攻队*、神奇四侠：初露锋芒。</t>
  </si>
  <si>
    <t>故事时间／位置</t>
  </si>
  <si>
    <t>为什么看</t>
  </si>
  <si>
    <t>先建立“复仇者为何能组成一队”。</t>
  </si>
  <si>
    <t>理解旧复仇者分裂及山姆、巴基、瓦坎达关系。</t>
  </si>
  <si>
    <t>熟悉大规模多阵营会师与失败代价。</t>
  </si>
  <si>
    <t>所有后终局角色状态与洛基分支的起点。</t>
  </si>
  <si>
    <t>时间线外</t>
  </si>
  <si>
    <t>认识 TVA、分支时间线与多元宇宙。</t>
  </si>
  <si>
    <t>山姆、巴基与约翰·沃克的必修课。</t>
  </si>
  <si>
    <t>看懂时间树与洛基当前状态。</t>
  </si>
  <si>
    <t>最直接解释“宇宙入侵／相撞”。</t>
  </si>
  <si>
    <t>补舒莉、姆巴库、纳摩与两国关系。</t>
  </si>
  <si>
    <t>重点在结尾建立的 X 战警宇宙连接。</t>
  </si>
  <si>
    <t>多宇宙</t>
  </si>
  <si>
    <t>TVA、福克斯旧宇宙与牌皇直接前置。</t>
  </si>
  <si>
    <t>当前美国队长与新猎鹰状态。</t>
  </si>
  <si>
    <t>官方确认会在《毁灭日》扮演关键角色。</t>
  </si>
  <si>
    <t>快速认识老版 X 战警核心成员。</t>
  </si>
  <si>
    <t>X战警：逆转未来</t>
  </si>
  <si>
    <t>1973／2023</t>
  </si>
  <si>
    <t>连接两代 X 战警演员与时间线重置。</t>
  </si>
  <si>
    <t>神奇四侠：初露锋芒</t>
  </si>
  <si>
    <t>平行宇宙</t>
  </si>
  <si>
    <t>直接通向《毁灭日》，属于绝对必看。</t>
  </si>
  <si>
    <t>《毁灭日》已确认阵营索引</t>
  </si>
  <si>
    <t>只采用 Disney／Marvel 已公布演员与预告信息；“为什么看”是基于这些官方事实做出的片单判断。</t>
  </si>
  <si>
    <t>官方梗概：来自三个不同宇宙的英雄会走上致命碰撞路线，并面对前所未有的生存威胁。</t>
  </si>
  <si>
    <t>阵营</t>
  </si>
  <si>
    <t>已确认角色／代表</t>
  </si>
  <si>
    <t>核心前置作品</t>
  </si>
  <si>
    <t>片单判断</t>
  </si>
  <si>
    <t>官方依据 URL</t>
  </si>
  <si>
    <t>复仇者旧成员</t>
  </si>
  <si>
    <t>史蒂夫·罗杰斯、雷神、蚁人、凯茜</t>
  </si>
  <si>
    <t>《复仇者联盟》《无限战争》《终局之战》</t>
  </si>
  <si>
    <t>理解旧团队、牺牲与后终局权力真空。</t>
  </si>
  <si>
    <t>https://www.marvel.com/articles/movies/avengers-doomsday-teaser-trailer</t>
  </si>
  <si>
    <t>山姆阵营</t>
  </si>
  <si>
    <t>山姆·威尔逊、华金·托雷斯</t>
  </si>
  <si>
    <t>《猎鹰与冬兵》《勇敢新世界》</t>
  </si>
  <si>
    <t>当前美国队长与新猎鹰。</t>
  </si>
  <si>
    <t>https://movies.disney.com/avengers-doomsday</t>
  </si>
  <si>
    <t>新复仇者</t>
  </si>
  <si>
    <t>叶莲娜、巴基、红色守卫、美国密探、幽灵、哨兵</t>
  </si>
  <si>
    <t>《黑寡妇》《蚁人2》《猎鹰与冬兵》《雷霆特攻队*》</t>
  </si>
  <si>
    <t>官方称雷霆特攻队成员将在《毁灭日》扮演关键角色。</t>
  </si>
  <si>
    <t>https://www.marvel.com/articles/movies/avengers-doomsday-cast-announcement-livestream-marvel-fans-break-the-internet</t>
  </si>
  <si>
    <t>瓦坎达／塔洛坎</t>
  </si>
  <si>
    <t>舒莉、姆巴库、纳摩</t>
  </si>
  <si>
    <t>《黑豹》《黑豹2》</t>
  </si>
  <si>
    <t>两国的政治关系和现任领袖。</t>
  </si>
  <si>
    <t>神奇四侠</t>
  </si>
  <si>
    <t>里德、苏、强尼、本</t>
  </si>
  <si>
    <t>《神奇四侠：初露锋芒》</t>
  </si>
  <si>
    <t>其平行世界会与其他宇宙相撞，四位主演全部回归。</t>
  </si>
  <si>
    <t>https://www.marvel.com/articles/movies/fantastic-four-first-steps-avengers-doomsday-kevin-feige</t>
  </si>
  <si>
    <t>X战警</t>
  </si>
  <si>
    <t>X教授、万磁王、独眼龙、魔形女、夜行者、野兽</t>
  </si>
  <si>
    <t>《X战警》《X战警2》《逆转未来》</t>
  </si>
  <si>
    <t>老版福克斯 X 战警阵容正式回归。</t>
  </si>
  <si>
    <t>TVA／多元宇宙</t>
  </si>
  <si>
    <t>洛基、牌皇及跨宇宙角色</t>
  </si>
  <si>
    <t>《洛基》S1/S2、《奇异博士2》《惊奇队长2》《死侍与金刚狼》</t>
  </si>
  <si>
    <t>时间树、宇宙入侵与福克斯旧宇宙连接。</t>
  </si>
  <si>
    <t>https://www.marvel.com/tv-shows/loki</t>
  </si>
  <si>
    <t>毁灭博士</t>
  </si>
  <si>
    <t>维克多·冯·杜姆（小罗伯特·唐尼饰）</t>
  </si>
  <si>
    <t>《神奇四侠：初露锋芒》→《毁灭日》</t>
  </si>
  <si>
    <t>目前没有 MCU 独立起源片；他不是托尼·斯塔克。</t>
  </si>
  <si>
    <t>https://www.marvel.com/articles/movies/marvel-studios-avengers-doomsday-begins-production</t>
  </si>
  <si>
    <t>使用说明与资料来源</t>
  </si>
  <si>
    <t>评分是片单推荐度，不是豆瓣、IMDb 或烂番茄换算；URL 以纯文本保留，方便核查与更新。</t>
  </si>
  <si>
    <t>排序口径</t>
  </si>
  <si>
    <t>主宇宙按主要剧情时间排序；时间线外内容按叙事承接位置；X战警因时间线重置按叙事顺序。</t>
  </si>
  <si>
    <t>筛选口径</t>
  </si>
  <si>
    <t>只保留已确认角色、直接连接三宇宙碰撞的内容，以及理解这些人物所需的最短前置。</t>
  </si>
  <si>
    <t>资料日期</t>
  </si>
  <si>
    <t>来源</t>
  </si>
  <si>
    <t>用途</t>
  </si>
  <si>
    <t>URL</t>
  </si>
  <si>
    <t>等级</t>
  </si>
  <si>
    <t>含义</t>
  </si>
  <si>
    <t>Disney 官方影片页</t>
  </si>
  <si>
    <t>最新官方梗概、上映日期与演员表</t>
  </si>
  <si>
    <t>极强推荐，最优先</t>
  </si>
  <si>
    <t>Marvel《毁灭日》预告汇总</t>
  </si>
  <si>
    <t>确认史蒂夫、雷神、X战警、瓦坎达和神奇四侠</t>
  </si>
  <si>
    <t>很强，值得完整观看</t>
  </si>
  <si>
    <t>Marvel 演员公布</t>
  </si>
  <si>
    <t>确认新复仇者与神奇四侠成员为关键阵容</t>
  </si>
  <si>
    <t>整体好看，有明显亮点</t>
  </si>
  <si>
    <t>Marvel 神奇四侠访谈</t>
  </si>
  <si>
    <t>确认《初露锋芒》直接通向《毁灭日》及宇宙相撞</t>
  </si>
  <si>
    <t>普通，但可能承担设定任务</t>
  </si>
  <si>
    <t>Marvel 雷霆特攻队页面</t>
  </si>
  <si>
    <t>新复仇者成员与角色状态</t>
  </si>
  <si>
    <t>https://www.marvel.com/movies/thunderbolts</t>
  </si>
  <si>
    <t>不建议新手花时间；必要时看摘要</t>
  </si>
  <si>
    <t>Marvel《洛基》页面</t>
  </si>
  <si>
    <t>TVA、扩张中的多元宇宙与洛基状态</t>
  </si>
  <si>
    <t>不云评分</t>
  </si>
  <si>
    <t>Marvel 宇宙入侵说明</t>
  </si>
  <si>
    <t>《奇异博士2》对 Incursion 的官方解释</t>
  </si>
  <si>
    <t>https://www.marvel.com/articles/movies/doctor-strange-multiverse-of-madness-dreamwalking-incursions</t>
  </si>
  <si>
    <t>Marvel MCU 时间线</t>
  </si>
  <si>
    <t>主宇宙故事顺序参考</t>
  </si>
  <si>
    <t>https://www.marvel.com/articles/movies/mcu-timeline-order-disney-plus</t>
  </si>
  <si>
    <t>Marvel 电影目录</t>
  </si>
  <si>
    <t>影片发行与系列归属交叉核对</t>
  </si>
  <si>
    <t>https://www.marvel.com/movies</t>
  </si>
  <si>
    <t>Marvel《惊奇队长2》页面</t>
  </si>
  <si>
    <t>异常虫洞与宇宙失稳剧情</t>
  </si>
  <si>
    <t>https://www.marvel.com/movies/the-marvels</t>
  </si>
  <si>
    <t>Marvel《崭新之日》官方简介</t>
  </si>
  <si>
    <t>故事发生在《英雄无归》四年后</t>
  </si>
  <si>
    <t>https://www.marvel.com/articles/movies/spider-man-brand-new-day-full-official-trailer-july-2026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</si>
</sst>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3">
    <font>
      <sz val="11"/>
      <name val="Carlito"/>
    </font>
    <font>
      <b/>
      <sz val="20"/>
      <color rgb="FFFFFFFF"/>
      <name val="Carlito"/>
    </font>
    <font>
      <i/>
      <sz val="11"/>
      <color rgb="FF5C6962"/>
      <name val="Carlito"/>
    </font>
    <font>
      <b/>
      <sz val="11"/>
      <color rgb="FF5C6962"/>
      <name val="Carlito"/>
    </font>
    <font>
      <b/>
      <sz val="18"/>
      <color rgb="FF1F4D3A"/>
      <name val="Carlito"/>
    </font>
    <font>
      <b/>
      <sz val="11"/>
      <color rgb="FFFFFFFF"/>
      <name val="Carlito"/>
    </font>
    <font>
      <sz val="11"/>
      <color rgb="FF18231E"/>
      <name val="Carlito"/>
    </font>
    <font>
      <b/>
      <sz val="11"/>
      <color rgb="FF8A5A00"/>
      <name val="Carlito"/>
    </font>
    <font>
      <b/>
      <sz val="11"/>
      <color rgb="FF6B7280"/>
      <name val="Carlito"/>
    </font>
    <font>
      <b/>
      <sz val="11"/>
      <color rgb="FF065F46"/>
      <name val="Carlito"/>
    </font>
    <font>
      <b/>
      <sz val="11"/>
      <color rgb="FF5B21B6"/>
      <name val="Carlito"/>
    </font>
    <font>
      <sz val="11"/>
      <name val="Carlito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AF4EF"/>
      </patternFill>
    </fill>
    <fill>
      <patternFill patternType="solid">
        <fgColor rgb="FFF3F6F4"/>
      </patternFill>
    </fill>
    <fill>
      <patternFill patternType="solid">
        <fgColor rgb="FF1F4D3A"/>
      </patternFill>
    </fill>
    <fill>
      <patternFill patternType="solid">
        <fgColor rgb="FFFFF7E6"/>
      </patternFill>
    </fill>
    <fill>
      <patternFill patternType="solid">
        <fgColor rgb="FFF3F4F6"/>
      </patternFill>
    </fill>
    <fill>
      <patternFill patternType="solid">
        <fgColor rgb="FFECFDF5"/>
      </patternFill>
    </fill>
    <fill>
      <patternFill patternType="solid">
        <fgColor rgb="FFF5F3FF"/>
      </patternFill>
    </fill>
  </fills>
  <borders count="20">
    <border>
      <left/>
      <right/>
      <top/>
      <bottom/>
      <diagonal/>
    </border>
    <border>
      <left/>
      <right/>
      <top/>
      <bottom style="thin">
        <color rgb="FFD4DDD8"/>
      </bottom>
      <diagonal/>
    </border>
    <border>
      <left style="thin">
        <color rgb="FFD4DDD8"/>
      </left>
      <right/>
      <top style="thin">
        <color rgb="FFD4DDD8"/>
      </top>
      <bottom/>
      <diagonal/>
    </border>
    <border>
      <left/>
      <right style="thin">
        <color rgb="FFD4DDD8"/>
      </right>
      <top style="thin">
        <color rgb="FFD4DDD8"/>
      </top>
      <bottom/>
      <diagonal/>
    </border>
    <border>
      <left style="thin">
        <color rgb="FFD4DDD8"/>
      </left>
      <right/>
      <top/>
      <bottom style="thin">
        <color rgb="FFD4DDD8"/>
      </bottom>
      <diagonal/>
    </border>
    <border>
      <left/>
      <right style="thin">
        <color rgb="FFD4DDD8"/>
      </right>
      <top/>
      <bottom style="thin">
        <color rgb="FFD4DDD8"/>
      </bottom>
      <diagonal/>
    </border>
    <border>
      <left/>
      <right/>
      <top style="thin">
        <color rgb="FFD4DDD8"/>
      </top>
      <bottom/>
      <diagonal/>
    </border>
    <border>
      <left/>
      <right/>
      <top/>
      <bottom style="medium">
        <color rgb="FF143528"/>
      </bottom>
      <diagonal/>
    </border>
    <border>
      <left/>
      <right/>
      <top style="thin">
        <color rgb="FFD4DDD8"/>
      </top>
      <bottom style="thin">
        <color rgb="FFD4DDD8"/>
      </bottom>
      <diagonal/>
    </border>
    <border>
      <left style="thin">
        <color rgb="FFE8C77A"/>
      </left>
      <right/>
      <top style="thin">
        <color rgb="FFE8C77A"/>
      </top>
      <bottom style="thin">
        <color rgb="FFE8C77A"/>
      </bottom>
      <diagonal/>
    </border>
    <border>
      <left/>
      <right/>
      <top style="thin">
        <color rgb="FFE8C77A"/>
      </top>
      <bottom style="thin">
        <color rgb="FFE8C77A"/>
      </bottom>
      <diagonal/>
    </border>
    <border>
      <left/>
      <right style="thin">
        <color rgb="FFE8C77A"/>
      </right>
      <top style="thin">
        <color rgb="FFE8C77A"/>
      </top>
      <bottom style="thin">
        <color rgb="FFE8C77A"/>
      </bottom>
      <diagonal/>
    </border>
    <border>
      <left style="thin">
        <color rgb="FFA7F3D0"/>
      </left>
      <right/>
      <top style="thin">
        <color rgb="FFA7F3D0"/>
      </top>
      <bottom style="thin">
        <color rgb="FFA7F3D0"/>
      </bottom>
      <diagonal/>
    </border>
    <border>
      <left/>
      <right/>
      <top style="thin">
        <color rgb="FFA7F3D0"/>
      </top>
      <bottom style="thin">
        <color rgb="FFA7F3D0"/>
      </bottom>
      <diagonal/>
    </border>
    <border>
      <left/>
      <right style="thin">
        <color rgb="FFA7F3D0"/>
      </right>
      <top style="thin">
        <color rgb="FFA7F3D0"/>
      </top>
      <bottom style="thin">
        <color rgb="FFA7F3D0"/>
      </bottom>
      <diagonal/>
    </border>
    <border>
      <left style="thin">
        <color rgb="FFDDD6FE"/>
      </left>
      <right/>
      <top style="thin">
        <color rgb="FFDDD6FE"/>
      </top>
      <bottom style="thin">
        <color rgb="FFDDD6FE"/>
      </bottom>
      <diagonal/>
    </border>
    <border>
      <left/>
      <right/>
      <top style="thin">
        <color rgb="FFDDD6FE"/>
      </top>
      <bottom style="thin">
        <color rgb="FFDDD6FE"/>
      </bottom>
      <diagonal/>
    </border>
    <border>
      <left/>
      <right style="thin">
        <color rgb="FFDDD6FE"/>
      </right>
      <top style="thin">
        <color rgb="FFDDD6FE"/>
      </top>
      <bottom style="thin">
        <color rgb="FFDDD6FE"/>
      </bottom>
      <diagonal/>
    </border>
    <border>
      <left style="thin">
        <color rgb="FFD4DDD8"/>
      </left>
      <right/>
      <top/>
      <bottom/>
      <diagonal/>
    </border>
    <border>
      <left/>
      <right style="thin">
        <color rgb="FFD4DDD8"/>
      </right>
      <top/>
      <bottom/>
      <diagonal/>
    </border>
  </borders>
  <cellStyleXfs count="2">
    <xf numFmtId="0" fontId="0" fillId="0" borderId="0"/>
    <xf numFmtId="0" fontId="11" fillId="0" borderId="0"/>
  </cellStyleXfs>
  <cellXfs count="38">
    <xf numFmtId="0" fontId="0" fillId="0" borderId="0" xfId="0"/>
    <xf numFmtId="0" fontId="3" fillId="4" borderId="2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vertical="top"/>
    </xf>
    <xf numFmtId="0" fontId="6" fillId="0" borderId="8" xfId="1" applyFont="1" applyBorder="1" applyAlignment="1">
      <alignment vertical="top"/>
    </xf>
    <xf numFmtId="0" fontId="6" fillId="0" borderId="1" xfId="1" applyFont="1" applyBorder="1" applyAlignment="1">
      <alignment horizontal="center" vertical="top"/>
    </xf>
    <xf numFmtId="0" fontId="6" fillId="0" borderId="8" xfId="1" applyFont="1" applyBorder="1" applyAlignment="1">
      <alignment horizontal="center" vertical="top"/>
    </xf>
    <xf numFmtId="0" fontId="6" fillId="0" borderId="1" xfId="1" applyFont="1" applyBorder="1" applyAlignment="1">
      <alignment vertical="top" wrapText="1"/>
    </xf>
    <xf numFmtId="0" fontId="6" fillId="0" borderId="8" xfId="1" applyFont="1" applyBorder="1" applyAlignment="1">
      <alignment vertical="top" wrapText="1"/>
    </xf>
    <xf numFmtId="0" fontId="6" fillId="0" borderId="1" xfId="1" applyFont="1" applyBorder="1" applyAlignment="1">
      <alignment horizontal="center" vertical="top" wrapText="1"/>
    </xf>
    <xf numFmtId="0" fontId="6" fillId="0" borderId="8" xfId="1" applyFont="1" applyBorder="1" applyAlignment="1">
      <alignment horizontal="center" vertical="top" wrapText="1"/>
    </xf>
    <xf numFmtId="0" fontId="3" fillId="4" borderId="18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176" fontId="6" fillId="0" borderId="1" xfId="1" applyNumberFormat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6" fillId="0" borderId="5" xfId="1" applyFont="1" applyBorder="1" applyAlignment="1">
      <alignment vertical="center" wrapText="1"/>
    </xf>
    <xf numFmtId="0" fontId="1" fillId="2" borderId="0" xfId="1" applyFont="1" applyFill="1" applyAlignment="1">
      <alignment horizontal="left" vertical="center"/>
    </xf>
    <xf numFmtId="0" fontId="2" fillId="3" borderId="1" xfId="1" applyFont="1" applyFill="1" applyBorder="1" applyAlignment="1">
      <alignment horizontal="left" vertical="center" wrapText="1"/>
    </xf>
    <xf numFmtId="0" fontId="3" fillId="4" borderId="2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7" fillId="6" borderId="9" xfId="1" applyFont="1" applyFill="1" applyBorder="1" applyAlignment="1">
      <alignment horizontal="left" vertical="center" wrapText="1"/>
    </xf>
    <xf numFmtId="0" fontId="7" fillId="6" borderId="10" xfId="1" applyFont="1" applyFill="1" applyBorder="1" applyAlignment="1">
      <alignment horizontal="left" vertical="center" wrapText="1"/>
    </xf>
    <xf numFmtId="0" fontId="7" fillId="6" borderId="11" xfId="1" applyFont="1" applyFill="1" applyBorder="1" applyAlignment="1">
      <alignment horizontal="left" vertical="center" wrapText="1"/>
    </xf>
    <xf numFmtId="0" fontId="8" fillId="7" borderId="0" xfId="1" applyFont="1" applyFill="1" applyAlignment="1">
      <alignment horizontal="left" vertical="center"/>
    </xf>
    <xf numFmtId="0" fontId="9" fillId="8" borderId="12" xfId="1" applyFont="1" applyFill="1" applyBorder="1" applyAlignment="1">
      <alignment horizontal="left" vertical="center" wrapText="1"/>
    </xf>
    <xf numFmtId="0" fontId="9" fillId="8" borderId="13" xfId="1" applyFont="1" applyFill="1" applyBorder="1" applyAlignment="1">
      <alignment horizontal="left" vertical="center" wrapText="1"/>
    </xf>
    <xf numFmtId="0" fontId="9" fillId="8" borderId="14" xfId="1" applyFont="1" applyFill="1" applyBorder="1" applyAlignment="1">
      <alignment horizontal="left" vertical="center" wrapText="1"/>
    </xf>
    <xf numFmtId="0" fontId="10" fillId="9" borderId="15" xfId="1" applyFont="1" applyFill="1" applyBorder="1" applyAlignment="1">
      <alignment horizontal="left" vertical="center"/>
    </xf>
    <xf numFmtId="0" fontId="10" fillId="9" borderId="16" xfId="1" applyFont="1" applyFill="1" applyBorder="1" applyAlignment="1">
      <alignment horizontal="left" vertical="center"/>
    </xf>
    <xf numFmtId="0" fontId="10" fillId="9" borderId="17" xfId="1" applyFont="1" applyFill="1" applyBorder="1" applyAlignment="1">
      <alignment horizontal="left" vertical="center"/>
    </xf>
    <xf numFmtId="0" fontId="6" fillId="0" borderId="6" xfId="1" applyFont="1" applyBorder="1" applyAlignment="1">
      <alignment vertical="center" wrapText="1"/>
    </xf>
    <xf numFmtId="0" fontId="6" fillId="0" borderId="3" xfId="1" applyFont="1" applyBorder="1" applyAlignment="1">
      <alignment vertical="center" wrapText="1"/>
    </xf>
    <xf numFmtId="0" fontId="6" fillId="0" borderId="0" xfId="1" applyFont="1" applyAlignment="1">
      <alignment vertical="center" wrapText="1"/>
    </xf>
    <xf numFmtId="0" fontId="6" fillId="0" borderId="19" xfId="1" applyFont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41">
    <dxf>
      <font>
        <b/>
        <color rgb="FFFFFFFF"/>
      </font>
      <fill>
        <patternFill patternType="solid">
          <bgColor rgb="FF7C3AED"/>
        </patternFill>
      </fill>
    </dxf>
    <dxf>
      <font>
        <b/>
        <color rgb="FFFFFFFF"/>
      </font>
      <fill>
        <patternFill patternType="solid">
          <bgColor rgb="FF6B7280"/>
        </patternFill>
      </fill>
    </dxf>
    <dxf>
      <font>
        <b/>
        <color rgb="FF18231E"/>
      </font>
      <fill>
        <patternFill patternType="solid">
          <bgColor rgb="FFA8DADC"/>
        </patternFill>
      </fill>
    </dxf>
    <dxf>
      <font>
        <b/>
        <color rgb="FFFFFFFF"/>
      </font>
      <fill>
        <patternFill patternType="solid">
          <bgColor rgb="FF2A9D8F"/>
        </patternFill>
      </fill>
    </dxf>
    <dxf>
      <font>
        <b/>
        <color rgb="FFFFFFFF"/>
      </font>
      <fill>
        <patternFill patternType="solid">
          <bgColor rgb="FFF77F00"/>
        </patternFill>
      </fill>
    </dxf>
    <dxf>
      <font>
        <b/>
        <color rgb="FFFFFFFF"/>
      </font>
      <fill>
        <patternFill patternType="solid">
          <bgColor rgb="FFD62828"/>
        </patternFill>
      </fill>
    </dxf>
    <dxf>
      <font>
        <b/>
        <color rgb="FF7C3AED"/>
      </font>
      <fill>
        <patternFill patternType="solid">
          <bgColor rgb="FFEDE9FE"/>
        </patternFill>
      </fill>
    </dxf>
    <dxf>
      <font>
        <color rgb="FF6B7280"/>
      </font>
      <fill>
        <patternFill patternType="solid">
          <bgColor rgb="FFF3F4F6"/>
        </patternFill>
      </fill>
    </dxf>
    <dxf>
      <font>
        <b/>
        <color rgb="FF065F46"/>
      </font>
      <fill>
        <patternFill patternType="solid">
          <bgColor rgb="FFD1FAE5"/>
        </patternFill>
      </fill>
    </dxf>
    <dxf>
      <font>
        <b/>
        <color rgb="FFFFFFFF"/>
      </font>
      <fill>
        <patternFill patternType="solid">
          <bgColor rgb="FF7C3AED"/>
        </patternFill>
      </fill>
    </dxf>
    <dxf>
      <font>
        <b/>
        <color rgb="FFFFFFFF"/>
      </font>
      <fill>
        <patternFill patternType="solid">
          <bgColor rgb="FF6B7280"/>
        </patternFill>
      </fill>
    </dxf>
    <dxf>
      <font>
        <b/>
        <color rgb="FF18231E"/>
      </font>
      <fill>
        <patternFill patternType="solid">
          <bgColor rgb="FFA8DADC"/>
        </patternFill>
      </fill>
    </dxf>
    <dxf>
      <font>
        <b/>
        <color rgb="FFFFFFFF"/>
      </font>
      <fill>
        <patternFill patternType="solid">
          <bgColor rgb="FF2A9D8F"/>
        </patternFill>
      </fill>
    </dxf>
    <dxf>
      <font>
        <b/>
        <color rgb="FFFFFFFF"/>
      </font>
      <fill>
        <patternFill patternType="solid">
          <bgColor rgb="FFF77F00"/>
        </patternFill>
      </fill>
    </dxf>
    <dxf>
      <font>
        <b/>
        <color rgb="FFFFFFFF"/>
      </font>
      <fill>
        <patternFill patternType="solid">
          <bgColor rgb="FFD62828"/>
        </patternFill>
      </fill>
    </dxf>
    <dxf>
      <font>
        <b/>
        <color rgb="FF7C3AED"/>
      </font>
      <fill>
        <patternFill patternType="solid">
          <bgColor rgb="FFEDE9FE"/>
        </patternFill>
      </fill>
    </dxf>
    <dxf>
      <font>
        <color rgb="FF6B7280"/>
      </font>
      <fill>
        <patternFill patternType="solid">
          <bgColor rgb="FFF3F4F6"/>
        </patternFill>
      </fill>
    </dxf>
    <dxf>
      <font>
        <b/>
        <color rgb="FF065F46"/>
      </font>
      <fill>
        <patternFill patternType="solid">
          <bgColor rgb="FFD1FAE5"/>
        </patternFill>
      </fill>
    </dxf>
    <dxf>
      <font>
        <b/>
        <color rgb="FFFFFFFF"/>
      </font>
      <fill>
        <patternFill patternType="solid">
          <bgColor rgb="FF7C3AED"/>
        </patternFill>
      </fill>
    </dxf>
    <dxf>
      <font>
        <b/>
        <color rgb="FFFFFFFF"/>
      </font>
      <fill>
        <patternFill patternType="solid">
          <bgColor rgb="FF6B7280"/>
        </patternFill>
      </fill>
    </dxf>
    <dxf>
      <font>
        <b/>
        <color rgb="FF18231E"/>
      </font>
      <fill>
        <patternFill patternType="solid">
          <bgColor rgb="FFA8DADC"/>
        </patternFill>
      </fill>
    </dxf>
    <dxf>
      <font>
        <b/>
        <color rgb="FFFFFFFF"/>
      </font>
      <fill>
        <patternFill patternType="solid">
          <bgColor rgb="FF2A9D8F"/>
        </patternFill>
      </fill>
    </dxf>
    <dxf>
      <font>
        <b/>
        <color rgb="FFFFFFFF"/>
      </font>
      <fill>
        <patternFill patternType="solid">
          <bgColor rgb="FFF77F00"/>
        </patternFill>
      </fill>
    </dxf>
    <dxf>
      <font>
        <b/>
        <color rgb="FFFFFFFF"/>
      </font>
      <fill>
        <patternFill patternType="solid">
          <bgColor rgb="FFD62828"/>
        </patternFill>
      </fill>
    </dxf>
    <dxf>
      <font>
        <b/>
        <color rgb="FFFFFFFF"/>
      </font>
      <fill>
        <patternFill patternType="solid">
          <bgColor rgb="FF111827"/>
        </patternFill>
      </fill>
    </dxf>
    <dxf>
      <font>
        <b/>
        <color rgb="FF7C3AED"/>
      </font>
      <fill>
        <patternFill patternType="solid">
          <bgColor rgb="FFEDE9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7C3AED"/>
      </font>
      <fill>
        <patternFill patternType="solid">
          <bgColor rgb="FFEDE9FE"/>
        </patternFill>
      </fill>
    </dxf>
    <dxf>
      <font>
        <color rgb="FF6B7280"/>
      </font>
      <fill>
        <patternFill patternType="solid">
          <bgColor rgb="FFF3F4F6"/>
        </patternFill>
      </fill>
    </dxf>
    <dxf>
      <font>
        <b/>
        <color rgb="FF065F46"/>
      </font>
      <fill>
        <patternFill patternType="solid">
          <bgColor rgb="FFD1FAE5"/>
        </patternFill>
      </fill>
    </dxf>
    <dxf>
      <font>
        <b/>
        <color rgb="FFFFFFFF"/>
      </font>
      <fill>
        <patternFill patternType="solid">
          <bgColor rgb="FF7C3AED"/>
        </patternFill>
      </fill>
    </dxf>
    <dxf>
      <font>
        <b/>
        <color rgb="FFFFFFFF"/>
      </font>
      <fill>
        <patternFill patternType="solid">
          <bgColor rgb="FF6B7280"/>
        </patternFill>
      </fill>
    </dxf>
    <dxf>
      <font>
        <b/>
        <color rgb="FF18231E"/>
      </font>
      <fill>
        <patternFill patternType="solid">
          <bgColor rgb="FFA8DADC"/>
        </patternFill>
      </fill>
    </dxf>
    <dxf>
      <font>
        <b/>
        <color rgb="FFFFFFFF"/>
      </font>
      <fill>
        <patternFill patternType="solid">
          <bgColor rgb="FF2A9D8F"/>
        </patternFill>
      </fill>
    </dxf>
    <dxf>
      <font>
        <b/>
        <color rgb="FFFFFFFF"/>
      </font>
      <fill>
        <patternFill patternType="solid">
          <bgColor rgb="FFF77F00"/>
        </patternFill>
      </fill>
    </dxf>
    <dxf>
      <font>
        <b/>
        <color rgb="FFFFFFFF"/>
      </font>
      <fill>
        <patternFill patternType="solid">
          <bgColor rgb="FFD62828"/>
        </patternFill>
      </fill>
    </dxf>
    <dxf>
      <font>
        <b/>
        <color rgb="FFFFFFFF"/>
      </font>
      <fill>
        <patternFill patternType="solid">
          <bgColor rgb="FF111827"/>
        </patternFill>
      </fill>
    </dxf>
    <dxf>
      <font>
        <b/>
        <color rgb="FF7C3AED"/>
      </font>
      <fill>
        <patternFill patternType="solid">
          <bgColor rgb="FFEDE9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oomsdayMainWatchlist" displayName="DoomsdayMainWatchlist" ref="A7:I38" totalsRowShown="0">
  <autoFilter ref="A7:I38" xr:uid="{00000000-0009-0000-0100-000001000000}"/>
  <tableColumns count="9">
    <tableColumn id="1" xr3:uid="{00000000-0010-0000-0000-000001000000}" name="顺序"/>
    <tableColumn id="2" xr3:uid="{00000000-0010-0000-0000-000002000000}" name="故事时间／观看位置"/>
    <tableColumn id="3" xr3:uid="{00000000-0010-0000-0000-000003000000}" name="类型"/>
    <tableColumn id="4" xr3:uid="{00000000-0010-0000-0000-000004000000}" name="片名"/>
    <tableColumn id="5" xr3:uid="{00000000-0010-0000-0000-000005000000}" name="优先级"/>
    <tableColumn id="6" xr3:uid="{00000000-0010-0000-0000-000006000000}" name="无剧透情节概括"/>
    <tableColumn id="7" xr3:uid="{00000000-0010-0000-0000-000007000000}" name="评分"/>
    <tableColumn id="8" xr3:uid="{00000000-0010-0000-0000-000008000000}" name="与《毁灭日》的关联"/>
    <tableColumn id="9" xr3:uid="{00000000-0010-0000-0000-000009000000}" name="观看状态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ossoverWatchlist" displayName="CrossoverWatchlist" ref="A6:H16" totalsRowShown="0">
  <autoFilter ref="A6:H16" xr:uid="{00000000-0009-0000-0100-000002000000}"/>
  <tableColumns count="8">
    <tableColumn id="1" xr3:uid="{00000000-0010-0000-0100-000001000000}" name="顺序"/>
    <tableColumn id="2" xr3:uid="{00000000-0010-0000-0100-000002000000}" name="故事位置／排序口径"/>
    <tableColumn id="3" xr3:uid="{00000000-0010-0000-0100-000003000000}" name="片名"/>
    <tableColumn id="4" xr3:uid="{00000000-0010-0000-0100-000004000000}" name="优先级"/>
    <tableColumn id="5" xr3:uid="{00000000-0010-0000-0100-000005000000}" name="无剧透情节概括"/>
    <tableColumn id="6" xr3:uid="{00000000-0010-0000-0100-000006000000}" name="评分"/>
    <tableColumn id="7" xr3:uid="{00000000-0010-0000-0100-000007000000}" name="观看状态"/>
    <tableColumn id="8" xr3:uid="{00000000-0010-0000-0100-000008000000}" name="与《毁灭日》的关联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oomsdaySprintWatchlist" displayName="DoomsdaySprintWatchlist" ref="A6:G22" totalsRowShown="0">
  <autoFilter ref="A6:G22" xr:uid="{00000000-0009-0000-0100-000003000000}"/>
  <tableColumns count="7">
    <tableColumn id="1" xr3:uid="{00000000-0010-0000-0200-000001000000}" name="顺序"/>
    <tableColumn id="2" xr3:uid="{00000000-0010-0000-0200-000002000000}" name="类型"/>
    <tableColumn id="3" xr3:uid="{00000000-0010-0000-0200-000003000000}" name="片名"/>
    <tableColumn id="4" xr3:uid="{00000000-0010-0000-0200-000004000000}" name="故事时间／位置"/>
    <tableColumn id="5" xr3:uid="{00000000-0010-0000-0200-000005000000}" name="为什么看"/>
    <tableColumn id="6" xr3:uid="{00000000-0010-0000-0200-000006000000}" name="评分"/>
    <tableColumn id="7" xr3:uid="{00000000-0010-0000-0200-000007000000}" name="观看状态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firmedFactionIndex" displayName="ConfirmedFactionIndex" ref="A6:E14" totalsRowShown="0">
  <autoFilter ref="A6:E14" xr:uid="{00000000-0009-0000-0100-000004000000}"/>
  <tableColumns count="5">
    <tableColumn id="1" xr3:uid="{00000000-0010-0000-0300-000001000000}" name="阵营"/>
    <tableColumn id="2" xr3:uid="{00000000-0010-0000-0300-000002000000}" name="已确认角色／代表"/>
    <tableColumn id="3" xr3:uid="{00000000-0010-0000-0300-000003000000}" name="核心前置作品"/>
    <tableColumn id="4" xr3:uid="{00000000-0010-0000-0300-000004000000}" name="片单判断"/>
    <tableColumn id="5" xr3:uid="{00000000-0010-0000-0300-000005000000}" name="官方依据 URL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oomsdaySourceTable" displayName="DoomsdaySourceTable" ref="A8:C19" totalsRowShown="0">
  <autoFilter ref="A8:C19" xr:uid="{00000000-0009-0000-0100-000005000000}"/>
  <tableColumns count="3">
    <tableColumn id="1" xr3:uid="{00000000-0010-0000-0400-000001000000}" name="来源"/>
    <tableColumn id="2" xr3:uid="{00000000-0010-0000-0400-000002000000}" name="用途"/>
    <tableColumn id="3" xr3:uid="{00000000-0010-0000-0400-000003000000}" name="URL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oomsdayRatingLegend" displayName="DoomsdayRatingLegend" ref="E8:F14" totalsRowShown="0">
  <tableColumns count="2">
    <tableColumn id="1" xr3:uid="{00000000-0010-0000-0500-000001000000}" name="等级"/>
    <tableColumn id="2" xr3:uid="{00000000-0010-0000-0500-000002000000}" name="含义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showGridLines="0" tabSelected="1" workbookViewId="0">
      <selection activeCell="F10" sqref="F10"/>
    </sheetView>
  </sheetViews>
  <sheetFormatPr defaultRowHeight="13.5"/>
  <cols>
    <col min="1" max="1" width="7" customWidth="1"/>
    <col min="2" max="2" width="22" customWidth="1"/>
    <col min="3" max="3" width="13" customWidth="1"/>
    <col min="4" max="4" width="31" customWidth="1"/>
    <col min="5" max="5" width="12" customWidth="1"/>
    <col min="6" max="6" width="60" customWidth="1"/>
    <col min="7" max="7" width="16" customWidth="1"/>
    <col min="8" max="8" width="48" customWidth="1"/>
    <col min="9" max="9" width="13" customWidth="1"/>
  </cols>
  <sheetData>
    <row r="1" spans="1:9" ht="3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9" ht="31.0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</row>
    <row r="4" spans="1:9" ht="23" customHeight="1">
      <c r="A4" s="18" t="s">
        <v>2</v>
      </c>
      <c r="B4" s="19"/>
      <c r="C4" s="18" t="s">
        <v>3</v>
      </c>
      <c r="D4" s="19"/>
      <c r="E4" s="18" t="s">
        <v>4</v>
      </c>
      <c r="F4" s="19"/>
      <c r="G4" s="18" t="s">
        <v>5</v>
      </c>
      <c r="H4" s="22"/>
      <c r="I4" s="19"/>
    </row>
    <row r="5" spans="1:9" ht="32" customHeight="1">
      <c r="A5" s="20">
        <f>COUNTA(D8:D38)</f>
        <v>31</v>
      </c>
      <c r="B5" s="21"/>
      <c r="C5" s="20">
        <f>COUNTIF(E8:E38,"必看")</f>
        <v>17</v>
      </c>
      <c r="D5" s="21"/>
      <c r="E5" s="20" t="str">
        <f>COUNTIF(I8:I38,"已看")&amp;"/"&amp;COUNTIF(I8:I38,"&lt;&gt;未上映")</f>
        <v>0/31</v>
      </c>
      <c r="F5" s="21"/>
      <c r="G5" s="20">
        <f>COUNTA(跨宇宙支线!C7:C16)</f>
        <v>10</v>
      </c>
      <c r="H5" s="23"/>
      <c r="I5" s="21"/>
    </row>
    <row r="7" spans="1:9" ht="31.05" customHeight="1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</row>
    <row r="8" spans="1:9" ht="58.05" customHeight="1">
      <c r="A8" s="5">
        <v>1</v>
      </c>
      <c r="B8" s="5" t="s">
        <v>15</v>
      </c>
      <c r="C8" s="5" t="s">
        <v>16</v>
      </c>
      <c r="D8" s="5" t="s">
        <v>17</v>
      </c>
      <c r="E8" s="5" t="s">
        <v>18</v>
      </c>
      <c r="F8" s="7" t="s">
        <v>19</v>
      </c>
      <c r="G8" s="5" t="s">
        <v>20</v>
      </c>
      <c r="H8" s="7" t="s">
        <v>21</v>
      </c>
      <c r="I8" s="5" t="s">
        <v>22</v>
      </c>
    </row>
    <row r="9" spans="1:9" ht="58.05" customHeight="1">
      <c r="A9" s="6">
        <v>2</v>
      </c>
      <c r="B9" s="6" t="s">
        <v>23</v>
      </c>
      <c r="C9" s="6" t="s">
        <v>16</v>
      </c>
      <c r="D9" s="6" t="s">
        <v>24</v>
      </c>
      <c r="E9" s="6" t="s">
        <v>18</v>
      </c>
      <c r="F9" s="8" t="s">
        <v>25</v>
      </c>
      <c r="G9" s="6" t="s">
        <v>26</v>
      </c>
      <c r="H9" s="8" t="s">
        <v>21</v>
      </c>
      <c r="I9" s="6" t="s">
        <v>27</v>
      </c>
    </row>
    <row r="10" spans="1:9" ht="58.05" customHeight="1">
      <c r="A10" s="6">
        <v>3</v>
      </c>
      <c r="B10" s="6" t="s">
        <v>28</v>
      </c>
      <c r="C10" s="6" t="s">
        <v>16</v>
      </c>
      <c r="D10" s="6" t="s">
        <v>29</v>
      </c>
      <c r="E10" s="6" t="s">
        <v>18</v>
      </c>
      <c r="F10" s="8" t="s">
        <v>30</v>
      </c>
      <c r="G10" s="6" t="s">
        <v>20</v>
      </c>
      <c r="H10" s="8" t="s">
        <v>21</v>
      </c>
      <c r="I10" s="6" t="s">
        <v>31</v>
      </c>
    </row>
    <row r="11" spans="1:9" ht="58.05" customHeight="1">
      <c r="A11" s="6">
        <v>4</v>
      </c>
      <c r="B11" s="6" t="s">
        <v>32</v>
      </c>
      <c r="C11" s="6" t="s">
        <v>16</v>
      </c>
      <c r="D11" s="6" t="s">
        <v>33</v>
      </c>
      <c r="E11" s="6" t="s">
        <v>34</v>
      </c>
      <c r="F11" s="8" t="s">
        <v>35</v>
      </c>
      <c r="G11" s="6" t="s">
        <v>26</v>
      </c>
      <c r="H11" s="8" t="s">
        <v>21</v>
      </c>
      <c r="I11" s="6" t="s">
        <v>36</v>
      </c>
    </row>
    <row r="12" spans="1:9" ht="58.05" customHeight="1">
      <c r="A12" s="6">
        <v>5</v>
      </c>
      <c r="B12" s="6" t="s">
        <v>37</v>
      </c>
      <c r="C12" s="6" t="s">
        <v>16</v>
      </c>
      <c r="D12" s="6" t="s">
        <v>38</v>
      </c>
      <c r="E12" s="6" t="s">
        <v>34</v>
      </c>
      <c r="F12" s="8" t="s">
        <v>39</v>
      </c>
      <c r="G12" s="6" t="s">
        <v>40</v>
      </c>
      <c r="H12" s="8" t="s">
        <v>21</v>
      </c>
      <c r="I12" s="6" t="s">
        <v>41</v>
      </c>
    </row>
    <row r="13" spans="1:9" ht="58.05" customHeight="1">
      <c r="A13" s="6">
        <v>6</v>
      </c>
      <c r="B13" s="6" t="s">
        <v>42</v>
      </c>
      <c r="C13" s="6" t="s">
        <v>16</v>
      </c>
      <c r="D13" s="6" t="s">
        <v>43</v>
      </c>
      <c r="E13" s="6" t="s">
        <v>18</v>
      </c>
      <c r="F13" s="8" t="s">
        <v>44</v>
      </c>
      <c r="G13" s="6" t="s">
        <v>20</v>
      </c>
      <c r="H13" s="8" t="s">
        <v>21</v>
      </c>
      <c r="I13" s="6" t="s">
        <v>45</v>
      </c>
    </row>
    <row r="14" spans="1:9" ht="58.05" customHeight="1">
      <c r="A14" s="6">
        <v>7</v>
      </c>
      <c r="B14" s="6" t="s">
        <v>42</v>
      </c>
      <c r="C14" s="6" t="s">
        <v>16</v>
      </c>
      <c r="D14" s="6" t="s">
        <v>46</v>
      </c>
      <c r="E14" s="6" t="s">
        <v>18</v>
      </c>
      <c r="F14" s="8" t="s">
        <v>47</v>
      </c>
      <c r="G14" s="6" t="s">
        <v>20</v>
      </c>
      <c r="H14" s="8" t="s">
        <v>21</v>
      </c>
      <c r="I14" s="6" t="s">
        <v>48</v>
      </c>
    </row>
    <row r="15" spans="1:9" ht="58.05" customHeight="1">
      <c r="A15" s="6">
        <v>8</v>
      </c>
      <c r="B15" s="6" t="s">
        <v>49</v>
      </c>
      <c r="C15" s="6" t="s">
        <v>16</v>
      </c>
      <c r="D15" s="6" t="s">
        <v>50</v>
      </c>
      <c r="E15" s="6" t="s">
        <v>34</v>
      </c>
      <c r="F15" s="8" t="s">
        <v>51</v>
      </c>
      <c r="G15" s="6" t="s">
        <v>26</v>
      </c>
      <c r="H15" s="8" t="s">
        <v>21</v>
      </c>
      <c r="I15" s="6" t="s">
        <v>52</v>
      </c>
    </row>
    <row r="16" spans="1:9" ht="58.05" customHeight="1">
      <c r="A16" s="6">
        <v>9</v>
      </c>
      <c r="B16" s="6" t="s">
        <v>53</v>
      </c>
      <c r="C16" s="6" t="s">
        <v>16</v>
      </c>
      <c r="D16" s="6" t="s">
        <v>54</v>
      </c>
      <c r="E16" s="6" t="s">
        <v>18</v>
      </c>
      <c r="F16" s="8" t="s">
        <v>55</v>
      </c>
      <c r="G16" s="6" t="s">
        <v>56</v>
      </c>
      <c r="H16" s="8" t="s">
        <v>21</v>
      </c>
      <c r="I16" s="6" t="s">
        <v>57</v>
      </c>
    </row>
    <row r="17" spans="1:9" ht="58.05" customHeight="1">
      <c r="A17" s="6">
        <v>10</v>
      </c>
      <c r="B17" s="6" t="s">
        <v>49</v>
      </c>
      <c r="C17" s="6" t="s">
        <v>16</v>
      </c>
      <c r="D17" s="6" t="s">
        <v>58</v>
      </c>
      <c r="E17" s="6" t="s">
        <v>34</v>
      </c>
      <c r="F17" s="8" t="s">
        <v>59</v>
      </c>
      <c r="G17" s="6" t="s">
        <v>26</v>
      </c>
      <c r="H17" s="8" t="s">
        <v>21</v>
      </c>
      <c r="I17" s="6" t="s">
        <v>60</v>
      </c>
    </row>
    <row r="18" spans="1:9" ht="58.05" customHeight="1">
      <c r="A18" s="6">
        <v>11</v>
      </c>
      <c r="B18" s="6" t="s">
        <v>61</v>
      </c>
      <c r="C18" s="6" t="s">
        <v>16</v>
      </c>
      <c r="D18" s="6" t="s">
        <v>62</v>
      </c>
      <c r="E18" s="6" t="s">
        <v>18</v>
      </c>
      <c r="F18" s="8" t="s">
        <v>63</v>
      </c>
      <c r="G18" s="6" t="s">
        <v>20</v>
      </c>
      <c r="H18" s="8" t="s">
        <v>21</v>
      </c>
      <c r="I18" s="6" t="s">
        <v>64</v>
      </c>
    </row>
    <row r="19" spans="1:9" ht="58.05" customHeight="1">
      <c r="A19" s="6">
        <v>12</v>
      </c>
      <c r="B19" s="6" t="s">
        <v>65</v>
      </c>
      <c r="C19" s="6" t="s">
        <v>16</v>
      </c>
      <c r="D19" s="6" t="s">
        <v>66</v>
      </c>
      <c r="E19" s="6" t="s">
        <v>34</v>
      </c>
      <c r="F19" s="8" t="s">
        <v>67</v>
      </c>
      <c r="G19" s="6" t="s">
        <v>26</v>
      </c>
      <c r="H19" s="8" t="s">
        <v>21</v>
      </c>
      <c r="I19" s="6" t="s">
        <v>68</v>
      </c>
    </row>
    <row r="20" spans="1:9" ht="58.05" customHeight="1">
      <c r="A20" s="6">
        <v>13</v>
      </c>
      <c r="B20" s="6" t="s">
        <v>69</v>
      </c>
      <c r="C20" s="6" t="s">
        <v>16</v>
      </c>
      <c r="D20" s="6" t="s">
        <v>70</v>
      </c>
      <c r="E20" s="6" t="s">
        <v>18</v>
      </c>
      <c r="F20" s="8" t="s">
        <v>71</v>
      </c>
      <c r="G20" s="6" t="s">
        <v>20</v>
      </c>
      <c r="H20" s="8" t="s">
        <v>21</v>
      </c>
      <c r="I20" s="6" t="s">
        <v>72</v>
      </c>
    </row>
    <row r="21" spans="1:9" ht="58.05" customHeight="1">
      <c r="A21" s="6">
        <v>14</v>
      </c>
      <c r="B21" s="6" t="s">
        <v>69</v>
      </c>
      <c r="C21" s="6" t="s">
        <v>16</v>
      </c>
      <c r="D21" s="6" t="s">
        <v>73</v>
      </c>
      <c r="E21" s="6" t="s">
        <v>34</v>
      </c>
      <c r="F21" s="8" t="s">
        <v>74</v>
      </c>
      <c r="G21" s="6" t="s">
        <v>40</v>
      </c>
      <c r="H21" s="8" t="s">
        <v>21</v>
      </c>
      <c r="I21" s="6" t="s">
        <v>75</v>
      </c>
    </row>
    <row r="22" spans="1:9" ht="58.05" customHeight="1">
      <c r="A22" s="6">
        <v>15</v>
      </c>
      <c r="B22" s="6" t="s">
        <v>76</v>
      </c>
      <c r="C22" s="6" t="s">
        <v>16</v>
      </c>
      <c r="D22" s="6" t="s">
        <v>77</v>
      </c>
      <c r="E22" s="6" t="s">
        <v>34</v>
      </c>
      <c r="F22" s="8" t="s">
        <v>78</v>
      </c>
      <c r="G22" s="6" t="s">
        <v>40</v>
      </c>
      <c r="H22" s="8" t="s">
        <v>21</v>
      </c>
      <c r="I22" s="6" t="s">
        <v>79</v>
      </c>
    </row>
    <row r="23" spans="1:9" ht="58.05" customHeight="1">
      <c r="A23" s="6">
        <v>16</v>
      </c>
      <c r="B23" s="6" t="s">
        <v>80</v>
      </c>
      <c r="C23" s="6" t="s">
        <v>81</v>
      </c>
      <c r="D23" s="6" t="s">
        <v>82</v>
      </c>
      <c r="E23" s="6" t="s">
        <v>83</v>
      </c>
      <c r="F23" s="8" t="s">
        <v>84</v>
      </c>
      <c r="G23" s="6" t="s">
        <v>26</v>
      </c>
      <c r="H23" s="8" t="s">
        <v>21</v>
      </c>
      <c r="I23" s="6" t="s">
        <v>85</v>
      </c>
    </row>
    <row r="24" spans="1:9" ht="58.05" customHeight="1">
      <c r="A24" s="6">
        <v>17</v>
      </c>
      <c r="B24" s="6" t="s">
        <v>86</v>
      </c>
      <c r="C24" s="6" t="s">
        <v>81</v>
      </c>
      <c r="D24" s="6" t="s">
        <v>87</v>
      </c>
      <c r="E24" s="6" t="s">
        <v>34</v>
      </c>
      <c r="F24" s="8" t="s">
        <v>88</v>
      </c>
      <c r="G24" s="6" t="s">
        <v>26</v>
      </c>
      <c r="H24" s="8" t="s">
        <v>21</v>
      </c>
      <c r="I24" s="6" t="s">
        <v>89</v>
      </c>
    </row>
    <row r="25" spans="1:9" ht="58.05" customHeight="1">
      <c r="A25" s="6">
        <v>18</v>
      </c>
      <c r="B25" s="6" t="s">
        <v>90</v>
      </c>
      <c r="C25" s="6" t="s">
        <v>16</v>
      </c>
      <c r="D25" s="6" t="s">
        <v>91</v>
      </c>
      <c r="E25" s="6" t="s">
        <v>34</v>
      </c>
      <c r="F25" s="8" t="s">
        <v>92</v>
      </c>
      <c r="G25" s="6" t="s">
        <v>26</v>
      </c>
      <c r="H25" s="8" t="s">
        <v>21</v>
      </c>
      <c r="I25" s="6" t="s">
        <v>93</v>
      </c>
    </row>
    <row r="26" spans="1:9" ht="58.05" customHeight="1">
      <c r="A26" s="6">
        <v>19</v>
      </c>
      <c r="B26" s="6" t="s">
        <v>90</v>
      </c>
      <c r="C26" s="6" t="s">
        <v>81</v>
      </c>
      <c r="D26" s="6" t="s">
        <v>94</v>
      </c>
      <c r="E26" s="6" t="s">
        <v>34</v>
      </c>
      <c r="F26" s="8" t="s">
        <v>95</v>
      </c>
      <c r="G26" s="6" t="s">
        <v>20</v>
      </c>
      <c r="H26" s="8" t="s">
        <v>21</v>
      </c>
      <c r="I26" s="6" t="s">
        <v>96</v>
      </c>
    </row>
    <row r="27" spans="1:9" ht="58.05" customHeight="1">
      <c r="A27" s="6">
        <v>20</v>
      </c>
      <c r="B27" s="6" t="s">
        <v>90</v>
      </c>
      <c r="C27" s="6" t="s">
        <v>16</v>
      </c>
      <c r="D27" s="6" t="s">
        <v>97</v>
      </c>
      <c r="E27" s="6" t="s">
        <v>83</v>
      </c>
      <c r="F27" s="8" t="s">
        <v>98</v>
      </c>
      <c r="G27" s="6" t="s">
        <v>26</v>
      </c>
      <c r="H27" s="8" t="s">
        <v>21</v>
      </c>
      <c r="I27" s="6" t="s">
        <v>99</v>
      </c>
    </row>
    <row r="28" spans="1:9" ht="58.05" customHeight="1">
      <c r="A28" s="6">
        <v>21</v>
      </c>
      <c r="B28" s="6" t="s">
        <v>100</v>
      </c>
      <c r="C28" s="6" t="s">
        <v>16</v>
      </c>
      <c r="D28" s="6" t="s">
        <v>101</v>
      </c>
      <c r="E28" s="6" t="s">
        <v>34</v>
      </c>
      <c r="F28" s="8" t="s">
        <v>102</v>
      </c>
      <c r="G28" s="6" t="s">
        <v>56</v>
      </c>
      <c r="H28" s="8" t="s">
        <v>21</v>
      </c>
      <c r="I28" s="6" t="s">
        <v>103</v>
      </c>
    </row>
    <row r="29" spans="1:9" ht="58.05" customHeight="1">
      <c r="A29" s="6">
        <v>22</v>
      </c>
      <c r="B29" s="6" t="s">
        <v>104</v>
      </c>
      <c r="C29" s="6" t="s">
        <v>16</v>
      </c>
      <c r="D29" s="6" t="s">
        <v>105</v>
      </c>
      <c r="E29" s="6" t="s">
        <v>34</v>
      </c>
      <c r="F29" s="8" t="s">
        <v>106</v>
      </c>
      <c r="G29" s="6" t="s">
        <v>114</v>
      </c>
      <c r="H29" s="8" t="s">
        <v>21</v>
      </c>
      <c r="I29" s="6" t="s">
        <v>107</v>
      </c>
    </row>
    <row r="30" spans="1:9" ht="58.05" customHeight="1">
      <c r="A30" s="6">
        <v>23</v>
      </c>
      <c r="B30" s="6" t="s">
        <v>104</v>
      </c>
      <c r="C30" s="6" t="s">
        <v>16</v>
      </c>
      <c r="D30" s="6" t="s">
        <v>108</v>
      </c>
      <c r="E30" s="6" t="s">
        <v>18</v>
      </c>
      <c r="F30" s="8" t="s">
        <v>109</v>
      </c>
      <c r="G30" s="6" t="s">
        <v>56</v>
      </c>
      <c r="H30" s="8" t="s">
        <v>21</v>
      </c>
      <c r="I30" s="6" t="s">
        <v>110</v>
      </c>
    </row>
    <row r="31" spans="1:9" ht="58.05" customHeight="1">
      <c r="A31" s="6">
        <v>24</v>
      </c>
      <c r="B31" s="6" t="s">
        <v>111</v>
      </c>
      <c r="C31" s="6" t="s">
        <v>16</v>
      </c>
      <c r="D31" s="6" t="s">
        <v>112</v>
      </c>
      <c r="E31" s="6" t="s">
        <v>18</v>
      </c>
      <c r="F31" s="8" t="s">
        <v>113</v>
      </c>
      <c r="G31" s="6" t="s">
        <v>114</v>
      </c>
      <c r="H31" s="8" t="s">
        <v>21</v>
      </c>
      <c r="I31" s="6" t="s">
        <v>115</v>
      </c>
    </row>
    <row r="32" spans="1:9" ht="58.05" customHeight="1">
      <c r="A32" s="6">
        <v>25</v>
      </c>
      <c r="B32" s="6" t="s">
        <v>116</v>
      </c>
      <c r="C32" s="6" t="s">
        <v>117</v>
      </c>
      <c r="D32" s="6" t="s">
        <v>118</v>
      </c>
      <c r="E32" s="6" t="s">
        <v>34</v>
      </c>
      <c r="F32" s="8" t="s">
        <v>119</v>
      </c>
      <c r="G32" s="6" t="s">
        <v>40</v>
      </c>
      <c r="H32" s="8" t="s">
        <v>21</v>
      </c>
      <c r="I32" s="6" t="s">
        <v>120</v>
      </c>
    </row>
    <row r="33" spans="1:9" ht="58.05" customHeight="1">
      <c r="A33" s="6">
        <v>26</v>
      </c>
      <c r="B33" s="6" t="s">
        <v>111</v>
      </c>
      <c r="C33" s="6" t="s">
        <v>16</v>
      </c>
      <c r="D33" s="6" t="s">
        <v>121</v>
      </c>
      <c r="E33" s="6" t="s">
        <v>34</v>
      </c>
      <c r="F33" s="8" t="s">
        <v>122</v>
      </c>
      <c r="G33" s="6" t="s">
        <v>114</v>
      </c>
      <c r="H33" s="8" t="s">
        <v>21</v>
      </c>
      <c r="I33" s="6" t="s">
        <v>123</v>
      </c>
    </row>
    <row r="34" spans="1:9" ht="58.05" customHeight="1">
      <c r="A34" s="6">
        <v>27</v>
      </c>
      <c r="B34" s="6" t="s">
        <v>124</v>
      </c>
      <c r="C34" s="6" t="s">
        <v>16</v>
      </c>
      <c r="D34" s="6" t="s">
        <v>125</v>
      </c>
      <c r="E34" s="6" t="s">
        <v>34</v>
      </c>
      <c r="F34" s="8" t="s">
        <v>126</v>
      </c>
      <c r="G34" s="6" t="s">
        <v>26</v>
      </c>
      <c r="H34" s="8" t="s">
        <v>21</v>
      </c>
      <c r="I34" s="6" t="s">
        <v>127</v>
      </c>
    </row>
    <row r="35" spans="1:9" ht="58.05" customHeight="1">
      <c r="A35" s="6">
        <v>28</v>
      </c>
      <c r="B35" s="6" t="s">
        <v>128</v>
      </c>
      <c r="C35" s="6" t="s">
        <v>16</v>
      </c>
      <c r="D35" s="6" t="s">
        <v>129</v>
      </c>
      <c r="E35" s="6" t="s">
        <v>34</v>
      </c>
      <c r="F35" s="8" t="s">
        <v>130</v>
      </c>
      <c r="G35" s="6" t="s">
        <v>114</v>
      </c>
      <c r="H35" s="8" t="s">
        <v>21</v>
      </c>
      <c r="I35" s="6" t="s">
        <v>131</v>
      </c>
    </row>
    <row r="36" spans="1:9" ht="58.05" customHeight="1">
      <c r="A36" s="6">
        <v>29</v>
      </c>
      <c r="B36" s="6" t="s">
        <v>128</v>
      </c>
      <c r="C36" s="6" t="s">
        <v>16</v>
      </c>
      <c r="D36" s="6" t="s">
        <v>132</v>
      </c>
      <c r="E36" s="6" t="s">
        <v>34</v>
      </c>
      <c r="F36" s="8" t="s">
        <v>133</v>
      </c>
      <c r="G36" s="6" t="s">
        <v>26</v>
      </c>
      <c r="H36" s="8" t="s">
        <v>21</v>
      </c>
      <c r="I36" s="6" t="s">
        <v>134</v>
      </c>
    </row>
    <row r="37" spans="1:9" ht="58.05" customHeight="1">
      <c r="A37" s="6">
        <v>30</v>
      </c>
      <c r="B37" s="6" t="s">
        <v>135</v>
      </c>
      <c r="C37" s="6" t="s">
        <v>16</v>
      </c>
      <c r="D37" s="6" t="s">
        <v>136</v>
      </c>
      <c r="E37" s="6" t="s">
        <v>137</v>
      </c>
      <c r="F37" s="8" t="s">
        <v>138</v>
      </c>
      <c r="G37" s="6" t="s">
        <v>139</v>
      </c>
      <c r="H37" s="8" t="s">
        <v>140</v>
      </c>
      <c r="I37" s="6" t="s">
        <v>141</v>
      </c>
    </row>
    <row r="38" spans="1:9" ht="58.05" customHeight="1">
      <c r="A38" s="6">
        <v>31</v>
      </c>
      <c r="B38" s="6" t="s">
        <v>142</v>
      </c>
      <c r="C38" s="6" t="s">
        <v>143</v>
      </c>
      <c r="D38" s="6" t="s">
        <v>144</v>
      </c>
      <c r="E38" s="6" t="s">
        <v>143</v>
      </c>
      <c r="F38" s="8" t="s">
        <v>145</v>
      </c>
      <c r="G38" s="6" t="s">
        <v>139</v>
      </c>
      <c r="H38" s="8" t="s">
        <v>140</v>
      </c>
      <c r="I38" s="6" t="s">
        <v>146</v>
      </c>
    </row>
  </sheetData>
  <mergeCells count="10">
    <mergeCell ref="A1:I1"/>
    <mergeCell ref="A2:I2"/>
    <mergeCell ref="A4:B4"/>
    <mergeCell ref="A5:B5"/>
    <mergeCell ref="C4:D4"/>
    <mergeCell ref="C5:D5"/>
    <mergeCell ref="E4:F4"/>
    <mergeCell ref="E5:F5"/>
    <mergeCell ref="G4:I4"/>
    <mergeCell ref="G5:I5"/>
  </mergeCells>
  <phoneticPr fontId="12" type="noConversion"/>
  <conditionalFormatting sqref="E8:E38">
    <cfRule type="containsText" dxfId="40" priority="1" operator="containsText" text="必看"/>
    <cfRule type="containsText" dxfId="39" priority="2" operator="containsText" text="建议"/>
    <cfRule type="containsText" dxfId="38" priority="3" operator="containsText" text="待确认"/>
    <cfRule type="containsText" dxfId="37" priority="4" operator="containsText" text="目的地"/>
  </conditionalFormatting>
  <conditionalFormatting sqref="G8:G38">
    <cfRule type="containsText" dxfId="36" priority="5" operator="containsText" text="夯"/>
    <cfRule type="containsText" dxfId="35" priority="6" operator="containsText" text="顶级"/>
    <cfRule type="containsText" dxfId="34" priority="7" operator="containsText" text="人上人"/>
    <cfRule type="containsText" dxfId="33" priority="8" operator="containsText" text="NPC"/>
    <cfRule type="containsText" dxfId="32" priority="9" operator="containsText" text="拉完了"/>
    <cfRule type="containsText" dxfId="31" priority="10" operator="containsText" text="待上映"/>
  </conditionalFormatting>
  <conditionalFormatting sqref="I8:I38">
    <cfRule type="containsText" dxfId="30" priority="11" operator="containsText" text="已看"/>
    <cfRule type="containsText" dxfId="29" priority="12" operator="containsText" text="跳过"/>
    <cfRule type="containsText" dxfId="28" priority="13" operator="containsText" text="未上映"/>
  </conditionalFormatting>
  <dataValidations count="4">
    <dataValidation type="list" sqref="C8:C38" xr:uid="{00000000-0002-0000-0000-000000000000}">
      <formula1>"电影,剧集S1,剧集S2,目的地"</formula1>
    </dataValidation>
    <dataValidation type="list" sqref="E8:E38" xr:uid="{00000000-0002-0000-0000-000001000000}">
      <formula1>"必看,建议,可选,待确认,目的地"</formula1>
    </dataValidation>
    <dataValidation type="list" sqref="G8:G38" xr:uid="{00000000-0002-0000-0000-000002000000}">
      <formula1>"夯,顶级,人上人,NPC,拉完了,待上映"</formula1>
    </dataValidation>
    <dataValidation type="list" sqref="I8:I38" xr:uid="{00000000-0002-0000-0000-000003000000}">
      <formula1>"未看,已看,跳过,未上映"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workbookViewId="0"/>
  </sheetViews>
  <sheetFormatPr defaultRowHeight="13.5"/>
  <cols>
    <col min="1" max="1" width="7" customWidth="1"/>
    <col min="2" max="2" width="23" customWidth="1"/>
    <col min="3" max="3" width="34" customWidth="1"/>
    <col min="4" max="4" width="12" customWidth="1"/>
    <col min="5" max="5" width="60" customWidth="1"/>
    <col min="6" max="6" width="15" customWidth="1"/>
    <col min="7" max="7" width="13" customWidth="1"/>
    <col min="8" max="8" width="48" customWidth="1"/>
  </cols>
  <sheetData>
    <row r="1" spans="1:8" ht="35" customHeight="1">
      <c r="A1" s="16" t="s">
        <v>147</v>
      </c>
      <c r="B1" s="16"/>
      <c r="C1" s="16"/>
      <c r="D1" s="16"/>
      <c r="E1" s="16"/>
      <c r="F1" s="16"/>
      <c r="G1" s="16"/>
      <c r="H1" s="16"/>
    </row>
    <row r="2" spans="1:8" ht="31.05" customHeight="1">
      <c r="A2" s="17" t="s">
        <v>148</v>
      </c>
      <c r="B2" s="17"/>
      <c r="C2" s="17"/>
      <c r="D2" s="17"/>
      <c r="E2" s="17"/>
      <c r="F2" s="17"/>
      <c r="G2" s="17"/>
      <c r="H2" s="17"/>
    </row>
    <row r="4" spans="1:8" ht="33" customHeight="1">
      <c r="A4" s="24" t="s">
        <v>149</v>
      </c>
      <c r="B4" s="25"/>
      <c r="C4" s="25"/>
      <c r="D4" s="25"/>
      <c r="E4" s="25"/>
      <c r="F4" s="25"/>
      <c r="G4" s="25"/>
      <c r="H4" s="26"/>
    </row>
    <row r="6" spans="1:8" ht="31.05" customHeight="1">
      <c r="A6" s="2" t="s">
        <v>6</v>
      </c>
      <c r="B6" s="2" t="s">
        <v>150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14</v>
      </c>
      <c r="H6" s="2" t="s">
        <v>13</v>
      </c>
    </row>
    <row r="7" spans="1:8" ht="58.05" customHeight="1">
      <c r="A7" s="5">
        <v>1</v>
      </c>
      <c r="B7" s="5" t="s">
        <v>151</v>
      </c>
      <c r="C7" s="5" t="s">
        <v>152</v>
      </c>
      <c r="D7" s="5" t="s">
        <v>34</v>
      </c>
      <c r="E7" s="7" t="s">
        <v>153</v>
      </c>
      <c r="F7" s="5" t="s">
        <v>20</v>
      </c>
      <c r="G7" s="5" t="s">
        <v>21</v>
      </c>
      <c r="H7" s="7" t="s">
        <v>154</v>
      </c>
    </row>
    <row r="8" spans="1:8" ht="58.05" customHeight="1">
      <c r="A8" s="6">
        <v>2</v>
      </c>
      <c r="B8" s="6" t="s">
        <v>155</v>
      </c>
      <c r="C8" s="6" t="s">
        <v>156</v>
      </c>
      <c r="D8" s="6" t="s">
        <v>34</v>
      </c>
      <c r="E8" s="8" t="s">
        <v>157</v>
      </c>
      <c r="F8" s="6" t="s">
        <v>26</v>
      </c>
      <c r="G8" s="6" t="s">
        <v>21</v>
      </c>
      <c r="H8" s="8" t="s">
        <v>158</v>
      </c>
    </row>
    <row r="9" spans="1:8" ht="58.05" customHeight="1">
      <c r="A9" s="6">
        <v>3</v>
      </c>
      <c r="B9" s="6" t="s">
        <v>159</v>
      </c>
      <c r="C9" s="6" t="s">
        <v>160</v>
      </c>
      <c r="D9" s="6" t="s">
        <v>18</v>
      </c>
      <c r="E9" s="8" t="s">
        <v>161</v>
      </c>
      <c r="F9" s="6" t="s">
        <v>56</v>
      </c>
      <c r="G9" s="6" t="s">
        <v>21</v>
      </c>
      <c r="H9" s="8" t="s">
        <v>162</v>
      </c>
    </row>
    <row r="10" spans="1:8" ht="58.05" customHeight="1">
      <c r="A10" s="6">
        <v>4</v>
      </c>
      <c r="B10" s="6" t="s">
        <v>163</v>
      </c>
      <c r="C10" s="6" t="s">
        <v>164</v>
      </c>
      <c r="D10" s="6" t="s">
        <v>18</v>
      </c>
      <c r="E10" s="8" t="s">
        <v>165</v>
      </c>
      <c r="F10" s="6" t="s">
        <v>26</v>
      </c>
      <c r="G10" s="6" t="s">
        <v>21</v>
      </c>
      <c r="H10" s="8" t="s">
        <v>166</v>
      </c>
    </row>
    <row r="11" spans="1:8" ht="58.05" customHeight="1">
      <c r="A11" s="6">
        <v>5</v>
      </c>
      <c r="B11" s="6" t="s">
        <v>167</v>
      </c>
      <c r="C11" s="6" t="s">
        <v>168</v>
      </c>
      <c r="D11" s="6" t="s">
        <v>34</v>
      </c>
      <c r="E11" s="8" t="s">
        <v>169</v>
      </c>
      <c r="F11" s="6" t="s">
        <v>40</v>
      </c>
      <c r="G11" s="6" t="s">
        <v>21</v>
      </c>
      <c r="H11" s="8" t="s">
        <v>170</v>
      </c>
    </row>
    <row r="12" spans="1:8" ht="58.05" customHeight="1">
      <c r="A12" s="6">
        <v>6</v>
      </c>
      <c r="B12" s="6" t="s">
        <v>171</v>
      </c>
      <c r="C12" s="6" t="s">
        <v>172</v>
      </c>
      <c r="D12" s="6" t="s">
        <v>83</v>
      </c>
      <c r="E12" s="8" t="s">
        <v>173</v>
      </c>
      <c r="F12" s="6" t="s">
        <v>40</v>
      </c>
      <c r="G12" s="6" t="s">
        <v>21</v>
      </c>
      <c r="H12" s="8" t="s">
        <v>174</v>
      </c>
    </row>
    <row r="13" spans="1:8" ht="58.05" customHeight="1">
      <c r="A13" s="6">
        <v>7</v>
      </c>
      <c r="B13" s="6" t="s">
        <v>175</v>
      </c>
      <c r="C13" s="6" t="s">
        <v>176</v>
      </c>
      <c r="D13" s="6" t="s">
        <v>18</v>
      </c>
      <c r="E13" s="8" t="s">
        <v>177</v>
      </c>
      <c r="F13" s="6" t="s">
        <v>20</v>
      </c>
      <c r="G13" s="6" t="s">
        <v>21</v>
      </c>
      <c r="H13" s="8" t="s">
        <v>178</v>
      </c>
    </row>
    <row r="14" spans="1:8" ht="58.05" customHeight="1">
      <c r="A14" s="6">
        <v>8</v>
      </c>
      <c r="B14" s="6" t="s">
        <v>179</v>
      </c>
      <c r="C14" s="6" t="s">
        <v>180</v>
      </c>
      <c r="D14" s="6" t="s">
        <v>18</v>
      </c>
      <c r="E14" s="8" t="s">
        <v>181</v>
      </c>
      <c r="F14" s="6" t="s">
        <v>20</v>
      </c>
      <c r="G14" s="6" t="s">
        <v>21</v>
      </c>
      <c r="H14" s="8" t="s">
        <v>182</v>
      </c>
    </row>
    <row r="15" spans="1:8" ht="58.05" customHeight="1">
      <c r="A15" s="6">
        <v>9</v>
      </c>
      <c r="B15" s="6" t="s">
        <v>124</v>
      </c>
      <c r="C15" s="6" t="s">
        <v>183</v>
      </c>
      <c r="D15" s="6" t="s">
        <v>34</v>
      </c>
      <c r="E15" s="8" t="s">
        <v>184</v>
      </c>
      <c r="F15" s="6" t="s">
        <v>26</v>
      </c>
      <c r="G15" s="6" t="s">
        <v>21</v>
      </c>
      <c r="H15" s="8" t="s">
        <v>185</v>
      </c>
    </row>
    <row r="16" spans="1:8" ht="58.05" customHeight="1">
      <c r="A16" s="6">
        <v>10</v>
      </c>
      <c r="B16" s="6" t="s">
        <v>186</v>
      </c>
      <c r="C16" s="6" t="s">
        <v>187</v>
      </c>
      <c r="D16" s="6" t="s">
        <v>34</v>
      </c>
      <c r="E16" s="8" t="s">
        <v>188</v>
      </c>
      <c r="F16" s="6" t="s">
        <v>26</v>
      </c>
      <c r="G16" s="6" t="s">
        <v>21</v>
      </c>
      <c r="H16" s="8" t="s">
        <v>189</v>
      </c>
    </row>
    <row r="18" spans="1:8" ht="28.05" customHeight="1">
      <c r="A18" s="27" t="s">
        <v>190</v>
      </c>
      <c r="B18" s="27"/>
      <c r="C18" s="27"/>
      <c r="D18" s="27"/>
      <c r="E18" s="27"/>
      <c r="F18" s="27"/>
      <c r="G18" s="27"/>
      <c r="H18" s="27"/>
    </row>
  </sheetData>
  <mergeCells count="4">
    <mergeCell ref="A1:H1"/>
    <mergeCell ref="A2:H2"/>
    <mergeCell ref="A4:H4"/>
    <mergeCell ref="A18:H18"/>
  </mergeCells>
  <phoneticPr fontId="12" type="noConversion"/>
  <conditionalFormatting sqref="D7:D16">
    <cfRule type="containsText" dxfId="27" priority="1" operator="containsText" text="必看"/>
    <cfRule type="containsText" dxfId="26" priority="2" operator="containsText" text="建议"/>
    <cfRule type="containsText" dxfId="25" priority="3" operator="containsText" text="待确认"/>
    <cfRule type="containsText" dxfId="24" priority="4" operator="containsText" text="目的地"/>
  </conditionalFormatting>
  <conditionalFormatting sqref="F7:F16">
    <cfRule type="containsText" dxfId="23" priority="5" operator="containsText" text="夯"/>
    <cfRule type="containsText" dxfId="22" priority="6" operator="containsText" text="顶级"/>
    <cfRule type="containsText" dxfId="21" priority="7" operator="containsText" text="人上人"/>
    <cfRule type="containsText" dxfId="20" priority="8" operator="containsText" text="NPC"/>
    <cfRule type="containsText" dxfId="19" priority="9" operator="containsText" text="拉完了"/>
    <cfRule type="containsText" dxfId="18" priority="10" operator="containsText" text="待上映"/>
  </conditionalFormatting>
  <conditionalFormatting sqref="G7:G16">
    <cfRule type="containsText" dxfId="17" priority="11" operator="containsText" text="已看"/>
    <cfRule type="containsText" dxfId="16" priority="12" operator="containsText" text="跳过"/>
    <cfRule type="containsText" dxfId="15" priority="13" operator="containsText" text="未上映"/>
  </conditionalFormatting>
  <dataValidations count="3">
    <dataValidation type="list" sqref="D7:D16" xr:uid="{00000000-0002-0000-0100-000000000000}">
      <formula1>"必看,建议,可选"</formula1>
    </dataValidation>
    <dataValidation type="list" sqref="F7:F16" xr:uid="{00000000-0002-0000-0100-000001000000}">
      <formula1>"夯,顶级,人上人,NPC,拉完了"</formula1>
    </dataValidation>
    <dataValidation type="list" sqref="G7:G16" xr:uid="{00000000-0002-0000-0100-000002000000}">
      <formula1>"未看,已看,跳过"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showGridLines="0" workbookViewId="0"/>
  </sheetViews>
  <sheetFormatPr defaultRowHeight="13.5"/>
  <cols>
    <col min="1" max="1" width="8" customWidth="1"/>
    <col min="2" max="2" width="13" customWidth="1"/>
    <col min="3" max="3" width="34" customWidth="1"/>
    <col min="4" max="4" width="22" customWidth="1"/>
    <col min="5" max="5" width="54" customWidth="1"/>
    <col min="6" max="6" width="15" customWidth="1"/>
    <col min="7" max="7" width="13" customWidth="1"/>
  </cols>
  <sheetData>
    <row r="1" spans="1:7" ht="35" customHeight="1">
      <c r="A1" s="16" t="s">
        <v>191</v>
      </c>
      <c r="B1" s="16"/>
      <c r="C1" s="16"/>
      <c r="D1" s="16"/>
      <c r="E1" s="16"/>
      <c r="F1" s="16"/>
      <c r="G1" s="16"/>
    </row>
    <row r="2" spans="1:7" ht="31.05" customHeight="1">
      <c r="A2" s="17" t="s">
        <v>192</v>
      </c>
      <c r="B2" s="17"/>
      <c r="C2" s="17"/>
      <c r="D2" s="17"/>
      <c r="E2" s="17"/>
      <c r="F2" s="17"/>
      <c r="G2" s="17"/>
    </row>
    <row r="4" spans="1:7" ht="34.049999999999997" customHeight="1">
      <c r="A4" s="28" t="s">
        <v>193</v>
      </c>
      <c r="B4" s="29"/>
      <c r="C4" s="29"/>
      <c r="D4" s="29"/>
      <c r="E4" s="29"/>
      <c r="F4" s="29"/>
      <c r="G4" s="30"/>
    </row>
    <row r="6" spans="1:7" ht="31.05" customHeight="1">
      <c r="A6" s="2" t="s">
        <v>6</v>
      </c>
      <c r="B6" s="2" t="s">
        <v>8</v>
      </c>
      <c r="C6" s="2" t="s">
        <v>9</v>
      </c>
      <c r="D6" s="2" t="s">
        <v>194</v>
      </c>
      <c r="E6" s="2" t="s">
        <v>195</v>
      </c>
      <c r="F6" s="2" t="s">
        <v>12</v>
      </c>
      <c r="G6" s="2" t="s">
        <v>14</v>
      </c>
    </row>
    <row r="7" spans="1:7" ht="48" customHeight="1">
      <c r="A7" s="5">
        <v>1</v>
      </c>
      <c r="B7" s="5" t="s">
        <v>16</v>
      </c>
      <c r="C7" s="5" t="s">
        <v>33</v>
      </c>
      <c r="D7" s="5" t="s">
        <v>32</v>
      </c>
      <c r="E7" s="7" t="s">
        <v>196</v>
      </c>
      <c r="F7" s="5" t="s">
        <v>26</v>
      </c>
      <c r="G7" s="5" t="s">
        <v>21</v>
      </c>
    </row>
    <row r="8" spans="1:7" ht="48" customHeight="1">
      <c r="A8" s="6">
        <v>2</v>
      </c>
      <c r="B8" s="6" t="s">
        <v>16</v>
      </c>
      <c r="C8" s="6" t="s">
        <v>50</v>
      </c>
      <c r="D8" s="6" t="s">
        <v>49</v>
      </c>
      <c r="E8" s="8" t="s">
        <v>197</v>
      </c>
      <c r="F8" s="6" t="s">
        <v>26</v>
      </c>
      <c r="G8" s="6" t="s">
        <v>21</v>
      </c>
    </row>
    <row r="9" spans="1:7" ht="48" customHeight="1">
      <c r="A9" s="6">
        <v>3</v>
      </c>
      <c r="B9" s="6" t="s">
        <v>16</v>
      </c>
      <c r="C9" s="6" t="s">
        <v>73</v>
      </c>
      <c r="D9" s="6" t="s">
        <v>69</v>
      </c>
      <c r="E9" s="8" t="s">
        <v>198</v>
      </c>
      <c r="F9" s="6" t="s">
        <v>40</v>
      </c>
      <c r="G9" s="6" t="s">
        <v>21</v>
      </c>
    </row>
    <row r="10" spans="1:7" ht="48" customHeight="1">
      <c r="A10" s="6">
        <v>4</v>
      </c>
      <c r="B10" s="6" t="s">
        <v>16</v>
      </c>
      <c r="C10" s="6" t="s">
        <v>77</v>
      </c>
      <c r="D10" s="6" t="s">
        <v>76</v>
      </c>
      <c r="E10" s="8" t="s">
        <v>199</v>
      </c>
      <c r="F10" s="6" t="s">
        <v>40</v>
      </c>
      <c r="G10" s="6" t="s">
        <v>21</v>
      </c>
    </row>
    <row r="11" spans="1:7" ht="48" customHeight="1">
      <c r="A11" s="6">
        <v>5</v>
      </c>
      <c r="B11" s="6" t="s">
        <v>81</v>
      </c>
      <c r="C11" s="6" t="s">
        <v>87</v>
      </c>
      <c r="D11" s="6" t="s">
        <v>200</v>
      </c>
      <c r="E11" s="8" t="s">
        <v>201</v>
      </c>
      <c r="F11" s="6" t="s">
        <v>26</v>
      </c>
      <c r="G11" s="6" t="s">
        <v>21</v>
      </c>
    </row>
    <row r="12" spans="1:7" ht="48" customHeight="1">
      <c r="A12" s="6">
        <v>6</v>
      </c>
      <c r="B12" s="6" t="s">
        <v>81</v>
      </c>
      <c r="C12" s="6" t="s">
        <v>94</v>
      </c>
      <c r="D12" s="6" t="s">
        <v>90</v>
      </c>
      <c r="E12" s="8" t="s">
        <v>202</v>
      </c>
      <c r="F12" s="6" t="s">
        <v>20</v>
      </c>
      <c r="G12" s="6" t="s">
        <v>21</v>
      </c>
    </row>
    <row r="13" spans="1:7" ht="48" customHeight="1">
      <c r="A13" s="6">
        <v>7</v>
      </c>
      <c r="B13" s="6" t="s">
        <v>117</v>
      </c>
      <c r="C13" s="6" t="s">
        <v>118</v>
      </c>
      <c r="D13" s="6" t="s">
        <v>200</v>
      </c>
      <c r="E13" s="8" t="s">
        <v>203</v>
      </c>
      <c r="F13" s="6" t="s">
        <v>40</v>
      </c>
      <c r="G13" s="6" t="s">
        <v>21</v>
      </c>
    </row>
    <row r="14" spans="1:7" ht="48" customHeight="1">
      <c r="A14" s="6">
        <v>8</v>
      </c>
      <c r="B14" s="6" t="s">
        <v>16</v>
      </c>
      <c r="C14" s="6" t="s">
        <v>101</v>
      </c>
      <c r="D14" s="6" t="s">
        <v>100</v>
      </c>
      <c r="E14" s="8" t="s">
        <v>204</v>
      </c>
      <c r="F14" s="6" t="s">
        <v>56</v>
      </c>
      <c r="G14" s="6" t="s">
        <v>21</v>
      </c>
    </row>
    <row r="15" spans="1:7" ht="48" customHeight="1">
      <c r="A15" s="6">
        <v>9</v>
      </c>
      <c r="B15" s="6" t="s">
        <v>16</v>
      </c>
      <c r="C15" s="6" t="s">
        <v>105</v>
      </c>
      <c r="D15" s="6" t="s">
        <v>104</v>
      </c>
      <c r="E15" s="8" t="s">
        <v>205</v>
      </c>
      <c r="F15" s="6" t="s">
        <v>20</v>
      </c>
      <c r="G15" s="6" t="s">
        <v>21</v>
      </c>
    </row>
    <row r="16" spans="1:7" ht="48" customHeight="1">
      <c r="A16" s="6">
        <v>10</v>
      </c>
      <c r="B16" s="6" t="s">
        <v>16</v>
      </c>
      <c r="C16" s="6" t="s">
        <v>121</v>
      </c>
      <c r="D16" s="6" t="s">
        <v>111</v>
      </c>
      <c r="E16" s="8" t="s">
        <v>206</v>
      </c>
      <c r="F16" s="6" t="s">
        <v>56</v>
      </c>
      <c r="G16" s="6" t="s">
        <v>21</v>
      </c>
    </row>
    <row r="17" spans="1:7" ht="48" customHeight="1">
      <c r="A17" s="6">
        <v>11</v>
      </c>
      <c r="B17" s="6" t="s">
        <v>16</v>
      </c>
      <c r="C17" s="6" t="s">
        <v>125</v>
      </c>
      <c r="D17" s="6" t="s">
        <v>207</v>
      </c>
      <c r="E17" s="8" t="s">
        <v>208</v>
      </c>
      <c r="F17" s="6" t="s">
        <v>26</v>
      </c>
      <c r="G17" s="6" t="s">
        <v>21</v>
      </c>
    </row>
    <row r="18" spans="1:7" ht="48" customHeight="1">
      <c r="A18" s="6">
        <v>12</v>
      </c>
      <c r="B18" s="6" t="s">
        <v>16</v>
      </c>
      <c r="C18" s="6" t="s">
        <v>129</v>
      </c>
      <c r="D18" s="6" t="s">
        <v>128</v>
      </c>
      <c r="E18" s="8" t="s">
        <v>209</v>
      </c>
      <c r="F18" s="6" t="s">
        <v>56</v>
      </c>
      <c r="G18" s="6" t="s">
        <v>21</v>
      </c>
    </row>
    <row r="19" spans="1:7" ht="48" customHeight="1">
      <c r="A19" s="6">
        <v>13</v>
      </c>
      <c r="B19" s="6" t="s">
        <v>16</v>
      </c>
      <c r="C19" s="6" t="s">
        <v>132</v>
      </c>
      <c r="D19" s="6" t="s">
        <v>128</v>
      </c>
      <c r="E19" s="8" t="s">
        <v>210</v>
      </c>
      <c r="F19" s="6" t="s">
        <v>26</v>
      </c>
      <c r="G19" s="6" t="s">
        <v>21</v>
      </c>
    </row>
    <row r="20" spans="1:7" ht="48" customHeight="1">
      <c r="A20" s="6">
        <v>14</v>
      </c>
      <c r="B20" s="6" t="s">
        <v>16</v>
      </c>
      <c r="C20" s="6" t="s">
        <v>152</v>
      </c>
      <c r="D20" s="6" t="s">
        <v>151</v>
      </c>
      <c r="E20" s="8" t="s">
        <v>211</v>
      </c>
      <c r="F20" s="6" t="s">
        <v>20</v>
      </c>
      <c r="G20" s="6" t="s">
        <v>21</v>
      </c>
    </row>
    <row r="21" spans="1:7" ht="48" customHeight="1">
      <c r="A21" s="6">
        <v>15</v>
      </c>
      <c r="B21" s="6" t="s">
        <v>16</v>
      </c>
      <c r="C21" s="6" t="s">
        <v>212</v>
      </c>
      <c r="D21" s="6" t="s">
        <v>213</v>
      </c>
      <c r="E21" s="8" t="s">
        <v>214</v>
      </c>
      <c r="F21" s="6" t="s">
        <v>40</v>
      </c>
      <c r="G21" s="6" t="s">
        <v>21</v>
      </c>
    </row>
    <row r="22" spans="1:7" ht="48" customHeight="1">
      <c r="A22" s="6">
        <v>16</v>
      </c>
      <c r="B22" s="6" t="s">
        <v>16</v>
      </c>
      <c r="C22" s="6" t="s">
        <v>215</v>
      </c>
      <c r="D22" s="6" t="s">
        <v>216</v>
      </c>
      <c r="E22" s="8" t="s">
        <v>217</v>
      </c>
      <c r="F22" s="6" t="s">
        <v>26</v>
      </c>
      <c r="G22" s="6" t="s">
        <v>21</v>
      </c>
    </row>
  </sheetData>
  <mergeCells count="3">
    <mergeCell ref="A1:G1"/>
    <mergeCell ref="A2:G2"/>
    <mergeCell ref="A4:G4"/>
  </mergeCells>
  <phoneticPr fontId="12" type="noConversion"/>
  <conditionalFormatting sqref="F7:F22">
    <cfRule type="containsText" dxfId="14" priority="1" operator="containsText" text="夯"/>
    <cfRule type="containsText" dxfId="13" priority="2" operator="containsText" text="顶级"/>
    <cfRule type="containsText" dxfId="12" priority="3" operator="containsText" text="人上人"/>
    <cfRule type="containsText" dxfId="11" priority="4" operator="containsText" text="NPC"/>
    <cfRule type="containsText" dxfId="10" priority="5" operator="containsText" text="拉完了"/>
    <cfRule type="containsText" dxfId="9" priority="6" operator="containsText" text="待上映"/>
  </conditionalFormatting>
  <conditionalFormatting sqref="G7:G22">
    <cfRule type="containsText" dxfId="8" priority="7" operator="containsText" text="已看"/>
    <cfRule type="containsText" dxfId="7" priority="8" operator="containsText" text="跳过"/>
    <cfRule type="containsText" dxfId="6" priority="9" operator="containsText" text="未上映"/>
  </conditionalFormatting>
  <dataValidations count="2">
    <dataValidation type="list" sqref="F7:F22" xr:uid="{00000000-0002-0000-0200-000000000000}">
      <formula1>"夯,顶级,人上人,NPC,拉完了"</formula1>
    </dataValidation>
    <dataValidation type="list" sqref="G7:G22" xr:uid="{00000000-0002-0000-0200-000001000000}">
      <formula1>"未看,已看,跳过"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showGridLines="0" workbookViewId="0"/>
  </sheetViews>
  <sheetFormatPr defaultRowHeight="13.5"/>
  <cols>
    <col min="1" max="1" width="19" customWidth="1"/>
    <col min="2" max="2" width="46" customWidth="1"/>
    <col min="3" max="4" width="55" customWidth="1"/>
    <col min="5" max="5" width="72" customWidth="1"/>
  </cols>
  <sheetData>
    <row r="1" spans="1:5" ht="35" customHeight="1">
      <c r="A1" s="16" t="s">
        <v>218</v>
      </c>
      <c r="B1" s="16"/>
      <c r="C1" s="16"/>
      <c r="D1" s="16"/>
      <c r="E1" s="16"/>
    </row>
    <row r="2" spans="1:5" ht="31.05" customHeight="1">
      <c r="A2" s="17" t="s">
        <v>219</v>
      </c>
      <c r="B2" s="17"/>
      <c r="C2" s="17"/>
      <c r="D2" s="17"/>
      <c r="E2" s="17"/>
    </row>
    <row r="4" spans="1:5" ht="28.05" customHeight="1">
      <c r="A4" s="31" t="s">
        <v>220</v>
      </c>
      <c r="B4" s="32"/>
      <c r="C4" s="32"/>
      <c r="D4" s="32"/>
      <c r="E4" s="33"/>
    </row>
    <row r="6" spans="1:5" ht="31.05" customHeight="1">
      <c r="A6" s="2" t="s">
        <v>221</v>
      </c>
      <c r="B6" s="2" t="s">
        <v>222</v>
      </c>
      <c r="C6" s="2" t="s">
        <v>223</v>
      </c>
      <c r="D6" s="2" t="s">
        <v>224</v>
      </c>
      <c r="E6" s="2" t="s">
        <v>225</v>
      </c>
    </row>
    <row r="7" spans="1:5" ht="62" customHeight="1">
      <c r="A7" s="9" t="s">
        <v>226</v>
      </c>
      <c r="B7" s="7" t="s">
        <v>227</v>
      </c>
      <c r="C7" s="7" t="s">
        <v>228</v>
      </c>
      <c r="D7" s="7" t="s">
        <v>229</v>
      </c>
      <c r="E7" s="7" t="s">
        <v>230</v>
      </c>
    </row>
    <row r="8" spans="1:5" ht="62" customHeight="1">
      <c r="A8" s="10" t="s">
        <v>231</v>
      </c>
      <c r="B8" s="8" t="s">
        <v>232</v>
      </c>
      <c r="C8" s="8" t="s">
        <v>233</v>
      </c>
      <c r="D8" s="8" t="s">
        <v>234</v>
      </c>
      <c r="E8" s="8" t="s">
        <v>235</v>
      </c>
    </row>
    <row r="9" spans="1:5" ht="62" customHeight="1">
      <c r="A9" s="10" t="s">
        <v>236</v>
      </c>
      <c r="B9" s="8" t="s">
        <v>237</v>
      </c>
      <c r="C9" s="8" t="s">
        <v>238</v>
      </c>
      <c r="D9" s="8" t="s">
        <v>239</v>
      </c>
      <c r="E9" s="8" t="s">
        <v>240</v>
      </c>
    </row>
    <row r="10" spans="1:5" ht="62" customHeight="1">
      <c r="A10" s="10" t="s">
        <v>241</v>
      </c>
      <c r="B10" s="8" t="s">
        <v>242</v>
      </c>
      <c r="C10" s="8" t="s">
        <v>243</v>
      </c>
      <c r="D10" s="8" t="s">
        <v>244</v>
      </c>
      <c r="E10" s="8" t="s">
        <v>230</v>
      </c>
    </row>
    <row r="11" spans="1:5" ht="62" customHeight="1">
      <c r="A11" s="10" t="s">
        <v>245</v>
      </c>
      <c r="B11" s="8" t="s">
        <v>246</v>
      </c>
      <c r="C11" s="8" t="s">
        <v>247</v>
      </c>
      <c r="D11" s="8" t="s">
        <v>248</v>
      </c>
      <c r="E11" s="8" t="s">
        <v>249</v>
      </c>
    </row>
    <row r="12" spans="1:5" ht="62" customHeight="1">
      <c r="A12" s="10" t="s">
        <v>250</v>
      </c>
      <c r="B12" s="8" t="s">
        <v>251</v>
      </c>
      <c r="C12" s="8" t="s">
        <v>252</v>
      </c>
      <c r="D12" s="8" t="s">
        <v>253</v>
      </c>
      <c r="E12" s="8" t="s">
        <v>230</v>
      </c>
    </row>
    <row r="13" spans="1:5" ht="62" customHeight="1">
      <c r="A13" s="10" t="s">
        <v>254</v>
      </c>
      <c r="B13" s="8" t="s">
        <v>255</v>
      </c>
      <c r="C13" s="8" t="s">
        <v>256</v>
      </c>
      <c r="D13" s="8" t="s">
        <v>257</v>
      </c>
      <c r="E13" s="8" t="s">
        <v>258</v>
      </c>
    </row>
    <row r="14" spans="1:5" ht="62" customHeight="1">
      <c r="A14" s="10" t="s">
        <v>259</v>
      </c>
      <c r="B14" s="8" t="s">
        <v>260</v>
      </c>
      <c r="C14" s="8" t="s">
        <v>261</v>
      </c>
      <c r="D14" s="8" t="s">
        <v>262</v>
      </c>
      <c r="E14" s="8" t="s">
        <v>263</v>
      </c>
    </row>
  </sheetData>
  <mergeCells count="3">
    <mergeCell ref="A1:E1"/>
    <mergeCell ref="A2:E2"/>
    <mergeCell ref="A4:E4"/>
  </mergeCells>
  <phoneticPr fontId="1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showGridLines="0" workbookViewId="0"/>
  </sheetViews>
  <sheetFormatPr defaultRowHeight="13.5"/>
  <cols>
    <col min="1" max="1" width="29" customWidth="1"/>
    <col min="2" max="2" width="50" customWidth="1"/>
    <col min="3" max="3" width="76" customWidth="1"/>
    <col min="4" max="4" width="4" customWidth="1"/>
    <col min="5" max="5" width="15" customWidth="1"/>
    <col min="6" max="6" width="38" customWidth="1"/>
  </cols>
  <sheetData>
    <row r="1" spans="1:6" ht="35" customHeight="1">
      <c r="A1" s="16" t="s">
        <v>264</v>
      </c>
      <c r="B1" s="16"/>
      <c r="C1" s="16"/>
      <c r="D1" s="16"/>
      <c r="E1" s="16"/>
      <c r="F1" s="16"/>
    </row>
    <row r="2" spans="1:6" ht="31.05" customHeight="1">
      <c r="A2" s="17" t="s">
        <v>265</v>
      </c>
      <c r="B2" s="17"/>
      <c r="C2" s="17"/>
      <c r="D2" s="17"/>
      <c r="E2" s="17"/>
      <c r="F2" s="17"/>
    </row>
    <row r="4" spans="1:6" ht="13.9">
      <c r="A4" s="1" t="s">
        <v>266</v>
      </c>
      <c r="B4" s="34" t="s">
        <v>267</v>
      </c>
      <c r="C4" s="34"/>
      <c r="D4" s="34"/>
      <c r="E4" s="34"/>
      <c r="F4" s="35"/>
    </row>
    <row r="5" spans="1:6" ht="13.9">
      <c r="A5" s="11" t="s">
        <v>268</v>
      </c>
      <c r="B5" s="36" t="s">
        <v>269</v>
      </c>
      <c r="C5" s="36"/>
      <c r="D5" s="36"/>
      <c r="E5" s="36"/>
      <c r="F5" s="37"/>
    </row>
    <row r="6" spans="1:6" ht="13.9">
      <c r="A6" s="12" t="s">
        <v>270</v>
      </c>
      <c r="B6" s="13">
        <v>46230</v>
      </c>
      <c r="C6" s="14"/>
      <c r="D6" s="14"/>
      <c r="E6" s="14"/>
      <c r="F6" s="15"/>
    </row>
    <row r="8" spans="1:6" ht="31.05" customHeight="1">
      <c r="A8" s="2" t="s">
        <v>271</v>
      </c>
      <c r="B8" s="2" t="s">
        <v>272</v>
      </c>
      <c r="C8" s="2" t="s">
        <v>273</v>
      </c>
      <c r="E8" s="2" t="s">
        <v>274</v>
      </c>
      <c r="F8" s="2" t="s">
        <v>275</v>
      </c>
    </row>
    <row r="9" spans="1:6" ht="31.05" customHeight="1">
      <c r="A9" s="7" t="s">
        <v>276</v>
      </c>
      <c r="B9" s="7" t="s">
        <v>277</v>
      </c>
      <c r="C9" s="7" t="s">
        <v>235</v>
      </c>
      <c r="E9" s="5" t="s">
        <v>40</v>
      </c>
      <c r="F9" s="3" t="s">
        <v>278</v>
      </c>
    </row>
    <row r="10" spans="1:6" ht="31.05" customHeight="1">
      <c r="A10" s="8" t="s">
        <v>279</v>
      </c>
      <c r="B10" s="8" t="s">
        <v>280</v>
      </c>
      <c r="C10" s="8" t="s">
        <v>230</v>
      </c>
      <c r="E10" s="6" t="s">
        <v>26</v>
      </c>
      <c r="F10" s="4" t="s">
        <v>281</v>
      </c>
    </row>
    <row r="11" spans="1:6" ht="31.05" customHeight="1">
      <c r="A11" s="8" t="s">
        <v>282</v>
      </c>
      <c r="B11" s="8" t="s">
        <v>283</v>
      </c>
      <c r="C11" s="8" t="s">
        <v>240</v>
      </c>
      <c r="E11" s="6" t="s">
        <v>20</v>
      </c>
      <c r="F11" s="4" t="s">
        <v>284</v>
      </c>
    </row>
    <row r="12" spans="1:6" ht="31.05" customHeight="1">
      <c r="A12" s="8" t="s">
        <v>285</v>
      </c>
      <c r="B12" s="8" t="s">
        <v>286</v>
      </c>
      <c r="C12" s="8" t="s">
        <v>249</v>
      </c>
      <c r="E12" s="6" t="s">
        <v>56</v>
      </c>
      <c r="F12" s="4" t="s">
        <v>287</v>
      </c>
    </row>
    <row r="13" spans="1:6" ht="31.05" customHeight="1">
      <c r="A13" s="8" t="s">
        <v>288</v>
      </c>
      <c r="B13" s="8" t="s">
        <v>289</v>
      </c>
      <c r="C13" s="8" t="s">
        <v>290</v>
      </c>
      <c r="E13" s="6" t="s">
        <v>114</v>
      </c>
      <c r="F13" s="4" t="s">
        <v>291</v>
      </c>
    </row>
    <row r="14" spans="1:6" ht="31.05" customHeight="1">
      <c r="A14" s="8" t="s">
        <v>292</v>
      </c>
      <c r="B14" s="8" t="s">
        <v>293</v>
      </c>
      <c r="C14" s="8" t="s">
        <v>258</v>
      </c>
      <c r="E14" s="6" t="s">
        <v>139</v>
      </c>
      <c r="F14" s="4" t="s">
        <v>294</v>
      </c>
    </row>
    <row r="15" spans="1:6" ht="48" customHeight="1">
      <c r="A15" s="8" t="s">
        <v>295</v>
      </c>
      <c r="B15" s="8" t="s">
        <v>296</v>
      </c>
      <c r="C15" s="8" t="s">
        <v>297</v>
      </c>
    </row>
    <row r="16" spans="1:6" ht="48" customHeight="1">
      <c r="A16" s="8" t="s">
        <v>298</v>
      </c>
      <c r="B16" s="8" t="s">
        <v>299</v>
      </c>
      <c r="C16" s="8" t="s">
        <v>300</v>
      </c>
    </row>
    <row r="17" spans="1:3" ht="48" customHeight="1">
      <c r="A17" s="8" t="s">
        <v>301</v>
      </c>
      <c r="B17" s="8" t="s">
        <v>302</v>
      </c>
      <c r="C17" s="8" t="s">
        <v>303</v>
      </c>
    </row>
    <row r="18" spans="1:3" ht="48" customHeight="1">
      <c r="A18" s="8" t="s">
        <v>304</v>
      </c>
      <c r="B18" s="8" t="s">
        <v>305</v>
      </c>
      <c r="C18" s="8" t="s">
        <v>306</v>
      </c>
    </row>
    <row r="19" spans="1:3" ht="48" customHeight="1">
      <c r="A19" s="8" t="s">
        <v>307</v>
      </c>
      <c r="B19" s="8" t="s">
        <v>308</v>
      </c>
      <c r="C19" s="8" t="s">
        <v>309</v>
      </c>
    </row>
  </sheetData>
  <mergeCells count="4">
    <mergeCell ref="A1:F1"/>
    <mergeCell ref="A2:F2"/>
    <mergeCell ref="B4:F4"/>
    <mergeCell ref="B5:F5"/>
  </mergeCells>
  <phoneticPr fontId="12" type="noConversion"/>
  <conditionalFormatting sqref="E9:E14">
    <cfRule type="containsText" dxfId="5" priority="1" operator="containsText" text="夯"/>
    <cfRule type="containsText" dxfId="4" priority="2" operator="containsText" text="顶级"/>
    <cfRule type="containsText" dxfId="3" priority="3" operator="containsText" text="人上人"/>
    <cfRule type="containsText" dxfId="2" priority="4" operator="containsText" text="NPC"/>
    <cfRule type="containsText" dxfId="1" priority="5" operator="containsText" text="拉完了"/>
    <cfRule type="containsText" dxfId="0" priority="6" operator="containsText" text="待上映"/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主宇宙片单</vt:lpstr>
      <vt:lpstr>跨宇宙支线</vt:lpstr>
      <vt:lpstr>年底冲刺版</vt:lpstr>
      <vt:lpstr>已确认阵营索引</vt:lpstr>
      <vt:lpstr>说明与来源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Pure Deep</cp:lastModifiedBy>
  <dcterms:modified xsi:type="dcterms:W3CDTF">2026-07-27T05:57:51Z</dcterms:modified>
</cp:coreProperties>
</file>